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A METTRE A JOUR/national w/"/>
    </mc:Choice>
  </mc:AlternateContent>
  <xr:revisionPtr revIDLastSave="0" documentId="8_{199327D2-27B3-2041-A320-07374E66E35B}" xr6:coauthVersionLast="47" xr6:coauthVersionMax="47" xr10:uidLastSave="{00000000-0000-0000-0000-000000000000}"/>
  <bookViews>
    <workbookView xWindow="0" yWindow="600" windowWidth="51200" windowHeight="28200" activeTab="8" xr2:uid="{00000000-000D-0000-FFFF-FFFF00000000}"/>
  </bookViews>
  <sheets>
    <sheet name="RÉCAP" sheetId="1" r:id="rId1"/>
    <sheet name="BINGO 2026" sheetId="2" r:id="rId2"/>
    <sheet name="BINGO 2025" sheetId="3" r:id="rId3"/>
    <sheet name="Feuil3" sheetId="9" r:id="rId4"/>
    <sheet name="BINGO 2024" sheetId="4" r:id="rId5"/>
    <sheet name="BINGO 2023" sheetId="5" r:id="rId6"/>
    <sheet name="STATISTIQUES GLOBAL" sheetId="6" r:id="rId7"/>
    <sheet name="Feuil1" sheetId="7" r:id="rId8"/>
    <sheet name="Feuil2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9" i="2" l="1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CN58" i="9"/>
  <c r="CN57" i="9"/>
  <c r="BZ57" i="9"/>
  <c r="BL57" i="9"/>
  <c r="AX57" i="9"/>
  <c r="AJ57" i="9"/>
  <c r="V57" i="9"/>
  <c r="H57" i="9"/>
  <c r="CN56" i="9"/>
  <c r="BZ56" i="9"/>
  <c r="BL56" i="9"/>
  <c r="AX56" i="9"/>
  <c r="AJ56" i="9"/>
  <c r="V56" i="9"/>
  <c r="H56" i="9"/>
  <c r="CN55" i="9"/>
  <c r="BZ55" i="9"/>
  <c r="BL55" i="9"/>
  <c r="AX55" i="9"/>
  <c r="AJ55" i="9"/>
  <c r="V55" i="9"/>
  <c r="H55" i="9"/>
  <c r="CN54" i="9"/>
  <c r="BZ54" i="9"/>
  <c r="BL54" i="9"/>
  <c r="AX54" i="9"/>
  <c r="AJ54" i="9"/>
  <c r="V54" i="9"/>
  <c r="H54" i="9"/>
  <c r="CN53" i="9"/>
  <c r="BZ53" i="9"/>
  <c r="BL53" i="9"/>
  <c r="AX53" i="9"/>
  <c r="AJ53" i="9"/>
  <c r="V53" i="9"/>
  <c r="H53" i="9"/>
  <c r="CN52" i="9"/>
  <c r="BZ52" i="9"/>
  <c r="BL52" i="9"/>
  <c r="AX52" i="9"/>
  <c r="AJ52" i="9"/>
  <c r="V52" i="9"/>
  <c r="H52" i="9"/>
  <c r="CN51" i="9"/>
  <c r="BZ51" i="9"/>
  <c r="BL51" i="9"/>
  <c r="AX51" i="9"/>
  <c r="AJ51" i="9"/>
  <c r="V51" i="9"/>
  <c r="H51" i="9"/>
  <c r="CN50" i="9"/>
  <c r="BZ50" i="9"/>
  <c r="BL50" i="9"/>
  <c r="AX50" i="9"/>
  <c r="AJ50" i="9"/>
  <c r="V50" i="9"/>
  <c r="H50" i="9"/>
  <c r="CN49" i="9"/>
  <c r="BZ49" i="9"/>
  <c r="BL49" i="9"/>
  <c r="AX49" i="9"/>
  <c r="AJ49" i="9"/>
  <c r="V49" i="9"/>
  <c r="H49" i="9"/>
  <c r="CN48" i="9"/>
  <c r="BZ48" i="9"/>
  <c r="BL48" i="9"/>
  <c r="AX48" i="9"/>
  <c r="AJ48" i="9"/>
  <c r="V48" i="9"/>
  <c r="H48" i="9"/>
  <c r="CN47" i="9"/>
  <c r="BZ47" i="9"/>
  <c r="BL47" i="9"/>
  <c r="AX47" i="9"/>
  <c r="AJ47" i="9"/>
  <c r="V47" i="9"/>
  <c r="H47" i="9"/>
  <c r="CN46" i="9"/>
  <c r="BZ46" i="9"/>
  <c r="BL46" i="9"/>
  <c r="AX46" i="9"/>
  <c r="AJ46" i="9"/>
  <c r="V46" i="9"/>
  <c r="H46" i="9"/>
  <c r="CN45" i="9"/>
  <c r="BZ45" i="9"/>
  <c r="BL45" i="9"/>
  <c r="AX45" i="9"/>
  <c r="AJ45" i="9"/>
  <c r="V45" i="9"/>
  <c r="H45" i="9"/>
  <c r="CN44" i="9"/>
  <c r="BZ44" i="9"/>
  <c r="BL44" i="9"/>
  <c r="AX44" i="9"/>
  <c r="AJ44" i="9"/>
  <c r="V44" i="9"/>
  <c r="H44" i="9"/>
  <c r="CN43" i="9"/>
  <c r="BZ43" i="9"/>
  <c r="BL43" i="9"/>
  <c r="AX43" i="9"/>
  <c r="AJ43" i="9"/>
  <c r="V43" i="9"/>
  <c r="H43" i="9"/>
  <c r="CN42" i="9"/>
  <c r="BZ42" i="9"/>
  <c r="BL42" i="9"/>
  <c r="AX42" i="9"/>
  <c r="AJ42" i="9"/>
  <c r="V42" i="9"/>
  <c r="H42" i="9"/>
  <c r="CN41" i="9"/>
  <c r="BZ41" i="9"/>
  <c r="BL41" i="9"/>
  <c r="AX41" i="9"/>
  <c r="AJ41" i="9"/>
  <c r="V41" i="9"/>
  <c r="H41" i="9"/>
  <c r="CN40" i="9"/>
  <c r="BZ40" i="9"/>
  <c r="BL40" i="9"/>
  <c r="AX40" i="9"/>
  <c r="AJ40" i="9"/>
  <c r="V40" i="9"/>
  <c r="H40" i="9"/>
  <c r="CN39" i="9"/>
  <c r="BZ39" i="9"/>
  <c r="BL39" i="9"/>
  <c r="AX39" i="9"/>
  <c r="AJ39" i="9"/>
  <c r="V39" i="9"/>
  <c r="H39" i="9"/>
  <c r="CN38" i="9"/>
  <c r="BZ38" i="9"/>
  <c r="BL38" i="9"/>
  <c r="AX38" i="9"/>
  <c r="AJ38" i="9"/>
  <c r="V38" i="9"/>
  <c r="H38" i="9"/>
  <c r="CN37" i="9"/>
  <c r="BZ37" i="9"/>
  <c r="BL37" i="9"/>
  <c r="AX37" i="9"/>
  <c r="AJ37" i="9"/>
  <c r="V37" i="9"/>
  <c r="H37" i="9"/>
  <c r="CN36" i="9"/>
  <c r="BZ36" i="9"/>
  <c r="BL36" i="9"/>
  <c r="AX36" i="9"/>
  <c r="AJ36" i="9"/>
  <c r="V36" i="9"/>
  <c r="H36" i="9"/>
  <c r="CN35" i="9"/>
  <c r="BZ35" i="9"/>
  <c r="BL35" i="9"/>
  <c r="AX35" i="9"/>
  <c r="AJ35" i="9"/>
  <c r="V35" i="9"/>
  <c r="H35" i="9"/>
  <c r="CN34" i="9"/>
  <c r="BZ34" i="9"/>
  <c r="BL34" i="9"/>
  <c r="AX34" i="9"/>
  <c r="AJ34" i="9"/>
  <c r="V34" i="9"/>
  <c r="H34" i="9"/>
  <c r="CN33" i="9"/>
  <c r="BZ33" i="9"/>
  <c r="BL33" i="9"/>
  <c r="AX33" i="9"/>
  <c r="AJ33" i="9"/>
  <c r="V33" i="9"/>
  <c r="H33" i="9"/>
  <c r="CN32" i="9"/>
  <c r="BZ32" i="9"/>
  <c r="BL32" i="9"/>
  <c r="AX32" i="9"/>
  <c r="AJ32" i="9"/>
  <c r="V32" i="9"/>
  <c r="H32" i="9"/>
  <c r="CN31" i="9"/>
  <c r="BZ31" i="9"/>
  <c r="BL31" i="9"/>
  <c r="AX31" i="9"/>
  <c r="AJ31" i="9"/>
  <c r="V31" i="9"/>
  <c r="H31" i="9"/>
  <c r="CN30" i="9"/>
  <c r="BZ30" i="9"/>
  <c r="BL30" i="9"/>
  <c r="AX30" i="9"/>
  <c r="AJ30" i="9"/>
  <c r="V30" i="9"/>
  <c r="H30" i="9"/>
  <c r="CN29" i="9"/>
  <c r="BZ29" i="9"/>
  <c r="BL29" i="9"/>
  <c r="AX29" i="9"/>
  <c r="AJ29" i="9"/>
  <c r="V29" i="9"/>
  <c r="H29" i="9"/>
  <c r="CN28" i="9"/>
  <c r="BZ28" i="9"/>
  <c r="BL28" i="9"/>
  <c r="AX28" i="9"/>
  <c r="AJ28" i="9"/>
  <c r="V28" i="9"/>
  <c r="H28" i="9"/>
  <c r="CN27" i="9"/>
  <c r="BZ27" i="9"/>
  <c r="BL27" i="9"/>
  <c r="AX27" i="9"/>
  <c r="AJ27" i="9"/>
  <c r="V27" i="9"/>
  <c r="H27" i="9"/>
  <c r="CN26" i="9"/>
  <c r="BZ26" i="9"/>
  <c r="BL26" i="9"/>
  <c r="AX26" i="9"/>
  <c r="AJ26" i="9"/>
  <c r="V26" i="9"/>
  <c r="H26" i="9"/>
  <c r="CN25" i="9"/>
  <c r="BZ25" i="9"/>
  <c r="BL25" i="9"/>
  <c r="AX25" i="9"/>
  <c r="AJ25" i="9"/>
  <c r="V25" i="9"/>
  <c r="H25" i="9"/>
  <c r="CN24" i="9"/>
  <c r="BZ24" i="9"/>
  <c r="BL24" i="9"/>
  <c r="AX24" i="9"/>
  <c r="AJ24" i="9"/>
  <c r="V24" i="9"/>
  <c r="H24" i="9"/>
  <c r="CN23" i="9"/>
  <c r="BZ23" i="9"/>
  <c r="BL23" i="9"/>
  <c r="AX23" i="9"/>
  <c r="AJ23" i="9"/>
  <c r="V23" i="9"/>
  <c r="H23" i="9"/>
  <c r="CN22" i="9"/>
  <c r="BZ22" i="9"/>
  <c r="BL22" i="9"/>
  <c r="AX22" i="9"/>
  <c r="AJ22" i="9"/>
  <c r="V22" i="9"/>
  <c r="H22" i="9"/>
  <c r="CN21" i="9"/>
  <c r="BZ21" i="9"/>
  <c r="BL21" i="9"/>
  <c r="AX21" i="9"/>
  <c r="AJ21" i="9"/>
  <c r="V21" i="9"/>
  <c r="H21" i="9"/>
  <c r="CN20" i="9"/>
  <c r="BZ20" i="9"/>
  <c r="BL20" i="9"/>
  <c r="AX20" i="9"/>
  <c r="AJ20" i="9"/>
  <c r="V20" i="9"/>
  <c r="H20" i="9"/>
  <c r="CN19" i="9"/>
  <c r="BZ19" i="9"/>
  <c r="BL19" i="9"/>
  <c r="AX19" i="9"/>
  <c r="AJ19" i="9"/>
  <c r="V19" i="9"/>
  <c r="H19" i="9"/>
  <c r="CN18" i="9"/>
  <c r="BZ18" i="9"/>
  <c r="BL18" i="9"/>
  <c r="AX18" i="9"/>
  <c r="AJ18" i="9"/>
  <c r="V18" i="9"/>
  <c r="H18" i="9"/>
  <c r="CN17" i="9"/>
  <c r="BZ17" i="9"/>
  <c r="BL17" i="9"/>
  <c r="AX17" i="9"/>
  <c r="AJ17" i="9"/>
  <c r="V17" i="9"/>
  <c r="H17" i="9"/>
  <c r="CN16" i="9"/>
  <c r="BZ16" i="9"/>
  <c r="BL16" i="9"/>
  <c r="AX16" i="9"/>
  <c r="AJ16" i="9"/>
  <c r="V16" i="9"/>
  <c r="H16" i="9"/>
  <c r="CN15" i="9"/>
  <c r="BZ15" i="9"/>
  <c r="BL15" i="9"/>
  <c r="AX15" i="9"/>
  <c r="AJ15" i="9"/>
  <c r="V15" i="9"/>
  <c r="H15" i="9"/>
  <c r="CN14" i="9"/>
  <c r="BZ14" i="9"/>
  <c r="BL14" i="9"/>
  <c r="AX14" i="9"/>
  <c r="AJ14" i="9"/>
  <c r="V14" i="9"/>
  <c r="H14" i="9"/>
  <c r="CN13" i="9"/>
  <c r="BZ13" i="9"/>
  <c r="BL13" i="9"/>
  <c r="AX13" i="9"/>
  <c r="AJ13" i="9"/>
  <c r="V13" i="9"/>
  <c r="H13" i="9"/>
  <c r="CN12" i="9"/>
  <c r="BZ12" i="9"/>
  <c r="BL12" i="9"/>
  <c r="AX12" i="9"/>
  <c r="AJ12" i="9"/>
  <c r="V12" i="9"/>
  <c r="H12" i="9"/>
  <c r="CN11" i="9"/>
  <c r="BZ11" i="9"/>
  <c r="BL11" i="9"/>
  <c r="AX11" i="9"/>
  <c r="AJ11" i="9"/>
  <c r="V11" i="9"/>
  <c r="H11" i="9"/>
  <c r="CN10" i="9"/>
  <c r="BZ10" i="9"/>
  <c r="BL10" i="9"/>
  <c r="AX10" i="9"/>
  <c r="AJ10" i="9"/>
  <c r="V10" i="9"/>
  <c r="H10" i="9"/>
  <c r="CN9" i="9"/>
  <c r="BZ9" i="9"/>
  <c r="BL9" i="9"/>
  <c r="AX9" i="9"/>
  <c r="AJ9" i="9"/>
  <c r="V9" i="9"/>
  <c r="H9" i="9"/>
  <c r="CN8" i="9"/>
  <c r="BZ8" i="9"/>
  <c r="BL8" i="9"/>
  <c r="AX8" i="9"/>
  <c r="AJ8" i="9"/>
  <c r="V8" i="9"/>
  <c r="H8" i="9"/>
  <c r="CN7" i="9"/>
  <c r="BZ7" i="9"/>
  <c r="BL7" i="9"/>
  <c r="AX7" i="9"/>
  <c r="AJ7" i="9"/>
  <c r="V7" i="9"/>
  <c r="H7" i="9"/>
  <c r="CN6" i="9"/>
  <c r="BZ6" i="9"/>
  <c r="BL6" i="9"/>
  <c r="AX6" i="9"/>
  <c r="AJ6" i="9"/>
  <c r="V6" i="9"/>
  <c r="H6" i="9"/>
  <c r="S56" i="2"/>
  <c r="R56" i="2"/>
  <c r="Q56" i="2"/>
  <c r="P56" i="2"/>
  <c r="O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56" i="2"/>
  <c r="CA56" i="8"/>
  <c r="BZ56" i="8"/>
  <c r="BY56" i="8"/>
  <c r="BX56" i="8"/>
  <c r="BW56" i="8"/>
  <c r="BR56" i="8"/>
  <c r="BQ56" i="8"/>
  <c r="BP56" i="8"/>
  <c r="BO56" i="8"/>
  <c r="BN56" i="8"/>
  <c r="BI56" i="8"/>
  <c r="BH56" i="8"/>
  <c r="BG56" i="8"/>
  <c r="BF56" i="8"/>
  <c r="BE56" i="8"/>
  <c r="AZ56" i="8"/>
  <c r="AY56" i="8"/>
  <c r="AX56" i="8"/>
  <c r="AW56" i="8"/>
  <c r="AV56" i="8"/>
  <c r="AQ56" i="8"/>
  <c r="AP56" i="8"/>
  <c r="AO56" i="8"/>
  <c r="AN56" i="8"/>
  <c r="AM56" i="8"/>
  <c r="AH56" i="8"/>
  <c r="AG56" i="8"/>
  <c r="AF56" i="8"/>
  <c r="AE56" i="8"/>
  <c r="AD56" i="8"/>
  <c r="Y56" i="8"/>
  <c r="X56" i="8"/>
  <c r="W56" i="8"/>
  <c r="V56" i="8"/>
  <c r="U56" i="8"/>
  <c r="P56" i="8"/>
  <c r="O56" i="8"/>
  <c r="N56" i="8"/>
  <c r="M56" i="8"/>
  <c r="L56" i="8"/>
  <c r="G56" i="8"/>
  <c r="F56" i="8"/>
  <c r="E56" i="8"/>
  <c r="D56" i="8"/>
  <c r="C56" i="8"/>
  <c r="AR55" i="8"/>
  <c r="CB54" i="8"/>
  <c r="BS54" i="8"/>
  <c r="BJ54" i="8"/>
  <c r="BA54" i="8"/>
  <c r="AR54" i="8"/>
  <c r="AI54" i="8"/>
  <c r="Z54" i="8"/>
  <c r="Q54" i="8"/>
  <c r="CB53" i="8"/>
  <c r="BS53" i="8"/>
  <c r="BJ53" i="8"/>
  <c r="BA53" i="8"/>
  <c r="AR53" i="8"/>
  <c r="AI53" i="8"/>
  <c r="Z53" i="8"/>
  <c r="Q53" i="8"/>
  <c r="CB52" i="8"/>
  <c r="BS52" i="8"/>
  <c r="BJ52" i="8"/>
  <c r="BA52" i="8"/>
  <c r="AR52" i="8"/>
  <c r="AI52" i="8"/>
  <c r="Z52" i="8"/>
  <c r="Q52" i="8"/>
  <c r="CB51" i="8"/>
  <c r="BS51" i="8"/>
  <c r="BJ51" i="8"/>
  <c r="BA51" i="8"/>
  <c r="AR51" i="8"/>
  <c r="AI51" i="8"/>
  <c r="Z51" i="8"/>
  <c r="Q51" i="8"/>
  <c r="CB50" i="8"/>
  <c r="BS50" i="8"/>
  <c r="BJ50" i="8"/>
  <c r="BA50" i="8"/>
  <c r="AR50" i="8"/>
  <c r="AI50" i="8"/>
  <c r="Z50" i="8"/>
  <c r="Q50" i="8"/>
  <c r="CB49" i="8"/>
  <c r="BS49" i="8"/>
  <c r="BJ49" i="8"/>
  <c r="BA49" i="8"/>
  <c r="AR49" i="8"/>
  <c r="AI49" i="8"/>
  <c r="Z49" i="8"/>
  <c r="Q49" i="8"/>
  <c r="CB48" i="8"/>
  <c r="BS48" i="8"/>
  <c r="BJ48" i="8"/>
  <c r="BA48" i="8"/>
  <c r="AR48" i="8"/>
  <c r="AI48" i="8"/>
  <c r="Z48" i="8"/>
  <c r="Q48" i="8"/>
  <c r="CB47" i="8"/>
  <c r="BS47" i="8"/>
  <c r="BJ47" i="8"/>
  <c r="BA47" i="8"/>
  <c r="AR47" i="8"/>
  <c r="AI47" i="8"/>
  <c r="Z47" i="8"/>
  <c r="Q47" i="8"/>
  <c r="CB46" i="8"/>
  <c r="BS46" i="8"/>
  <c r="BJ46" i="8"/>
  <c r="BA46" i="8"/>
  <c r="AR46" i="8"/>
  <c r="AI46" i="8"/>
  <c r="Z46" i="8"/>
  <c r="Q46" i="8"/>
  <c r="CB45" i="8"/>
  <c r="BS45" i="8"/>
  <c r="BJ45" i="8"/>
  <c r="BA45" i="8"/>
  <c r="AR45" i="8"/>
  <c r="AI45" i="8"/>
  <c r="Z45" i="8"/>
  <c r="Q45" i="8"/>
  <c r="CB44" i="8"/>
  <c r="BS44" i="8"/>
  <c r="BJ44" i="8"/>
  <c r="BA44" i="8"/>
  <c r="AR44" i="8"/>
  <c r="AI44" i="8"/>
  <c r="Z44" i="8"/>
  <c r="Q44" i="8"/>
  <c r="CB43" i="8"/>
  <c r="BS43" i="8"/>
  <c r="BJ43" i="8"/>
  <c r="BA43" i="8"/>
  <c r="AR43" i="8"/>
  <c r="AI43" i="8"/>
  <c r="Z43" i="8"/>
  <c r="Q43" i="8"/>
  <c r="CB42" i="8"/>
  <c r="BS42" i="8"/>
  <c r="BJ42" i="8"/>
  <c r="BA42" i="8"/>
  <c r="AR42" i="8"/>
  <c r="AI42" i="8"/>
  <c r="Z42" i="8"/>
  <c r="Q42" i="8"/>
  <c r="CB41" i="8"/>
  <c r="BS41" i="8"/>
  <c r="BJ41" i="8"/>
  <c r="BA41" i="8"/>
  <c r="AR41" i="8"/>
  <c r="AI41" i="8"/>
  <c r="Z41" i="8"/>
  <c r="Q41" i="8"/>
  <c r="CB40" i="8"/>
  <c r="BS40" i="8"/>
  <c r="BJ40" i="8"/>
  <c r="BA40" i="8"/>
  <c r="AR40" i="8"/>
  <c r="AI40" i="8"/>
  <c r="Z40" i="8"/>
  <c r="Q40" i="8"/>
  <c r="CB39" i="8"/>
  <c r="BS39" i="8"/>
  <c r="BJ39" i="8"/>
  <c r="BA39" i="8"/>
  <c r="AR39" i="8"/>
  <c r="AI39" i="8"/>
  <c r="Z39" i="8"/>
  <c r="Q39" i="8"/>
  <c r="CB38" i="8"/>
  <c r="BS38" i="8"/>
  <c r="BJ38" i="8"/>
  <c r="BA38" i="8"/>
  <c r="AR38" i="8"/>
  <c r="AI38" i="8"/>
  <c r="Z38" i="8"/>
  <c r="Q38" i="8"/>
  <c r="CB37" i="8"/>
  <c r="BS37" i="8"/>
  <c r="BJ37" i="8"/>
  <c r="BA37" i="8"/>
  <c r="AR37" i="8"/>
  <c r="AI37" i="8"/>
  <c r="Z37" i="8"/>
  <c r="Q37" i="8"/>
  <c r="CB36" i="8"/>
  <c r="BS36" i="8"/>
  <c r="BJ36" i="8"/>
  <c r="BA36" i="8"/>
  <c r="AR36" i="8"/>
  <c r="AI36" i="8"/>
  <c r="Z36" i="8"/>
  <c r="Q36" i="8"/>
  <c r="CB35" i="8"/>
  <c r="BS35" i="8"/>
  <c r="BJ35" i="8"/>
  <c r="BA35" i="8"/>
  <c r="AR35" i="8"/>
  <c r="AI35" i="8"/>
  <c r="Z35" i="8"/>
  <c r="Q35" i="8"/>
  <c r="CB34" i="8"/>
  <c r="BS34" i="8"/>
  <c r="BJ34" i="8"/>
  <c r="BA34" i="8"/>
  <c r="AR34" i="8"/>
  <c r="AI34" i="8"/>
  <c r="Z34" i="8"/>
  <c r="Q34" i="8"/>
  <c r="CB33" i="8"/>
  <c r="BS33" i="8"/>
  <c r="BJ33" i="8"/>
  <c r="BA33" i="8"/>
  <c r="AR33" i="8"/>
  <c r="AI33" i="8"/>
  <c r="Z33" i="8"/>
  <c r="Q33" i="8"/>
  <c r="CB32" i="8"/>
  <c r="BS32" i="8"/>
  <c r="BJ32" i="8"/>
  <c r="BA32" i="8"/>
  <c r="AR32" i="8"/>
  <c r="AI32" i="8"/>
  <c r="Z32" i="8"/>
  <c r="Q32" i="8"/>
  <c r="CB31" i="8"/>
  <c r="BS31" i="8"/>
  <c r="BJ31" i="8"/>
  <c r="BA31" i="8"/>
  <c r="AR31" i="8"/>
  <c r="AI31" i="8"/>
  <c r="Z31" i="8"/>
  <c r="Q31" i="8"/>
  <c r="CB30" i="8"/>
  <c r="BS30" i="8"/>
  <c r="BJ30" i="8"/>
  <c r="BA30" i="8"/>
  <c r="AR30" i="8"/>
  <c r="AI30" i="8"/>
  <c r="Z30" i="8"/>
  <c r="Q30" i="8"/>
  <c r="CB29" i="8"/>
  <c r="BS29" i="8"/>
  <c r="BJ29" i="8"/>
  <c r="BA29" i="8"/>
  <c r="AR29" i="8"/>
  <c r="AI29" i="8"/>
  <c r="Z29" i="8"/>
  <c r="Q29" i="8"/>
  <c r="CB28" i="8"/>
  <c r="BS28" i="8"/>
  <c r="BJ28" i="8"/>
  <c r="BA28" i="8"/>
  <c r="AR28" i="8"/>
  <c r="AI28" i="8"/>
  <c r="Z28" i="8"/>
  <c r="Q28" i="8"/>
  <c r="CB27" i="8"/>
  <c r="BS27" i="8"/>
  <c r="BJ27" i="8"/>
  <c r="BA27" i="8"/>
  <c r="AR27" i="8"/>
  <c r="AI27" i="8"/>
  <c r="Z27" i="8"/>
  <c r="Q27" i="8"/>
  <c r="CB26" i="8"/>
  <c r="BS26" i="8"/>
  <c r="BJ26" i="8"/>
  <c r="BA26" i="8"/>
  <c r="AR26" i="8"/>
  <c r="AI26" i="8"/>
  <c r="Z26" i="8"/>
  <c r="Q26" i="8"/>
  <c r="CB25" i="8"/>
  <c r="BS25" i="8"/>
  <c r="BJ25" i="8"/>
  <c r="BA25" i="8"/>
  <c r="AR25" i="8"/>
  <c r="AI25" i="8"/>
  <c r="Z25" i="8"/>
  <c r="Q25" i="8"/>
  <c r="CB24" i="8"/>
  <c r="BS24" i="8"/>
  <c r="BJ24" i="8"/>
  <c r="BA24" i="8"/>
  <c r="AR24" i="8"/>
  <c r="AI24" i="8"/>
  <c r="Z24" i="8"/>
  <c r="Q24" i="8"/>
  <c r="CB23" i="8"/>
  <c r="BS23" i="8"/>
  <c r="BJ23" i="8"/>
  <c r="BA23" i="8"/>
  <c r="AR23" i="8"/>
  <c r="AI23" i="8"/>
  <c r="Z23" i="8"/>
  <c r="Q23" i="8"/>
  <c r="CB22" i="8"/>
  <c r="BS22" i="8"/>
  <c r="BJ22" i="8"/>
  <c r="BA22" i="8"/>
  <c r="AR22" i="8"/>
  <c r="AI22" i="8"/>
  <c r="Z22" i="8"/>
  <c r="Q22" i="8"/>
  <c r="CB21" i="8"/>
  <c r="BS21" i="8"/>
  <c r="BJ21" i="8"/>
  <c r="BA21" i="8"/>
  <c r="AR21" i="8"/>
  <c r="AI21" i="8"/>
  <c r="Z21" i="8"/>
  <c r="Q21" i="8"/>
  <c r="CB20" i="8"/>
  <c r="BS20" i="8"/>
  <c r="BJ20" i="8"/>
  <c r="BA20" i="8"/>
  <c r="AR20" i="8"/>
  <c r="AI20" i="8"/>
  <c r="Z20" i="8"/>
  <c r="Q20" i="8"/>
  <c r="CB19" i="8"/>
  <c r="BS19" i="8"/>
  <c r="BJ19" i="8"/>
  <c r="BA19" i="8"/>
  <c r="AR19" i="8"/>
  <c r="AI19" i="8"/>
  <c r="Z19" i="8"/>
  <c r="Q19" i="8"/>
  <c r="CB18" i="8"/>
  <c r="BS18" i="8"/>
  <c r="BJ18" i="8"/>
  <c r="BA18" i="8"/>
  <c r="AR18" i="8"/>
  <c r="AI18" i="8"/>
  <c r="Z18" i="8"/>
  <c r="Q18" i="8"/>
  <c r="CB17" i="8"/>
  <c r="BS17" i="8"/>
  <c r="BJ17" i="8"/>
  <c r="BA17" i="8"/>
  <c r="AR17" i="8"/>
  <c r="AI17" i="8"/>
  <c r="Z17" i="8"/>
  <c r="Q17" i="8"/>
  <c r="CB16" i="8"/>
  <c r="BS16" i="8"/>
  <c r="BJ16" i="8"/>
  <c r="BA16" i="8"/>
  <c r="AR16" i="8"/>
  <c r="AI16" i="8"/>
  <c r="Z16" i="8"/>
  <c r="Q16" i="8"/>
  <c r="H16" i="8"/>
  <c r="CB15" i="8"/>
  <c r="BS15" i="8"/>
  <c r="BJ15" i="8"/>
  <c r="BA15" i="8"/>
  <c r="AR15" i="8"/>
  <c r="AI15" i="8"/>
  <c r="Z15" i="8"/>
  <c r="Q15" i="8"/>
  <c r="H15" i="8"/>
  <c r="CB14" i="8"/>
  <c r="BS14" i="8"/>
  <c r="BJ14" i="8"/>
  <c r="BA14" i="8"/>
  <c r="AR14" i="8"/>
  <c r="AI14" i="8"/>
  <c r="Z14" i="8"/>
  <c r="Q14" i="8"/>
  <c r="H14" i="8"/>
  <c r="CB13" i="8"/>
  <c r="BS13" i="8"/>
  <c r="BJ13" i="8"/>
  <c r="BA13" i="8"/>
  <c r="AR13" i="8"/>
  <c r="AI13" i="8"/>
  <c r="Z13" i="8"/>
  <c r="Q13" i="8"/>
  <c r="H13" i="8"/>
  <c r="CB12" i="8"/>
  <c r="BS12" i="8"/>
  <c r="BJ12" i="8"/>
  <c r="BA12" i="8"/>
  <c r="AR12" i="8"/>
  <c r="AI12" i="8"/>
  <c r="Z12" i="8"/>
  <c r="Q12" i="8"/>
  <c r="H12" i="8"/>
  <c r="CB11" i="8"/>
  <c r="BS11" i="8"/>
  <c r="BJ11" i="8"/>
  <c r="BA11" i="8"/>
  <c r="AR11" i="8"/>
  <c r="AI11" i="8"/>
  <c r="Z11" i="8"/>
  <c r="Q11" i="8"/>
  <c r="H11" i="8"/>
  <c r="CB10" i="8"/>
  <c r="BS10" i="8"/>
  <c r="BJ10" i="8"/>
  <c r="BA10" i="8"/>
  <c r="AR10" i="8"/>
  <c r="AI10" i="8"/>
  <c r="Z10" i="8"/>
  <c r="Q10" i="8"/>
  <c r="H10" i="8"/>
  <c r="CB9" i="8"/>
  <c r="BS9" i="8"/>
  <c r="BJ9" i="8"/>
  <c r="BA9" i="8"/>
  <c r="AR9" i="8"/>
  <c r="AI9" i="8"/>
  <c r="Z9" i="8"/>
  <c r="Q9" i="8"/>
  <c r="H9" i="8"/>
  <c r="CB8" i="8"/>
  <c r="BS8" i="8"/>
  <c r="BJ8" i="8"/>
  <c r="BA8" i="8"/>
  <c r="AR8" i="8"/>
  <c r="AI8" i="8"/>
  <c r="Z8" i="8"/>
  <c r="Q8" i="8"/>
  <c r="H8" i="8"/>
  <c r="CB7" i="8"/>
  <c r="BS7" i="8"/>
  <c r="BJ7" i="8"/>
  <c r="BA7" i="8"/>
  <c r="AR7" i="8"/>
  <c r="AI7" i="8"/>
  <c r="Z7" i="8"/>
  <c r="Q7" i="8"/>
  <c r="H7" i="8"/>
  <c r="CB6" i="8"/>
  <c r="BS6" i="8"/>
  <c r="BJ6" i="8"/>
  <c r="BA6" i="8"/>
  <c r="AR6" i="8"/>
  <c r="AI6" i="8"/>
  <c r="Z6" i="8"/>
  <c r="Q6" i="8"/>
  <c r="H6" i="8"/>
  <c r="CB5" i="8"/>
  <c r="BS5" i="8"/>
  <c r="BJ5" i="8"/>
  <c r="BA5" i="8"/>
  <c r="AR5" i="8"/>
  <c r="AI5" i="8"/>
  <c r="Z5" i="8"/>
  <c r="Q5" i="8"/>
  <c r="H5" i="8"/>
  <c r="CB4" i="8"/>
  <c r="BS4" i="8"/>
  <c r="BJ4" i="8"/>
  <c r="BA4" i="8"/>
  <c r="AR4" i="8"/>
  <c r="AR56" i="8" s="1"/>
  <c r="AI4" i="8"/>
  <c r="Z4" i="8"/>
  <c r="Q4" i="8"/>
  <c r="H4" i="8"/>
  <c r="CB3" i="8"/>
  <c r="BS3" i="8"/>
  <c r="BJ3" i="8"/>
  <c r="BA3" i="8"/>
  <c r="AR3" i="8"/>
  <c r="AI3" i="8"/>
  <c r="Z3" i="8"/>
  <c r="Q3" i="8"/>
  <c r="H3" i="8"/>
  <c r="H56" i="8" l="1"/>
  <c r="AI56" i="8"/>
  <c r="CB56" i="8"/>
  <c r="Q56" i="8"/>
  <c r="BJ56" i="8"/>
  <c r="Z56" i="8"/>
  <c r="BA56" i="8"/>
  <c r="BS56" i="8"/>
  <c r="DK56" i="7"/>
  <c r="DJ56" i="7"/>
  <c r="DI56" i="7"/>
  <c r="DH56" i="7"/>
  <c r="DG56" i="7"/>
  <c r="DB56" i="7"/>
  <c r="DA56" i="7"/>
  <c r="CZ56" i="7"/>
  <c r="CY56" i="7"/>
  <c r="CX56" i="7"/>
  <c r="CS56" i="7"/>
  <c r="CR56" i="7"/>
  <c r="CQ56" i="7"/>
  <c r="CP56" i="7"/>
  <c r="CO56" i="7"/>
  <c r="CJ56" i="7"/>
  <c r="CI56" i="7"/>
  <c r="CH56" i="7"/>
  <c r="CG56" i="7"/>
  <c r="CF56" i="7"/>
  <c r="CA56" i="7"/>
  <c r="BZ56" i="7"/>
  <c r="BY56" i="7"/>
  <c r="BX56" i="7"/>
  <c r="BW56" i="7"/>
  <c r="BR56" i="7"/>
  <c r="BQ56" i="7"/>
  <c r="BP56" i="7"/>
  <c r="BO56" i="7"/>
  <c r="BN56" i="7"/>
  <c r="BI56" i="7"/>
  <c r="BH56" i="7"/>
  <c r="BG56" i="7"/>
  <c r="BF56" i="7"/>
  <c r="BE56" i="7"/>
  <c r="AZ56" i="7"/>
  <c r="AY56" i="7"/>
  <c r="AX56" i="7"/>
  <c r="AW56" i="7"/>
  <c r="AV56" i="7"/>
  <c r="AQ56" i="7"/>
  <c r="AP56" i="7"/>
  <c r="AO56" i="7"/>
  <c r="AN56" i="7"/>
  <c r="AM56" i="7"/>
  <c r="AH56" i="7"/>
  <c r="AG56" i="7"/>
  <c r="AF56" i="7"/>
  <c r="AE56" i="7"/>
  <c r="AD56" i="7"/>
  <c r="Y56" i="7"/>
  <c r="X56" i="7"/>
  <c r="W56" i="7"/>
  <c r="V56" i="7"/>
  <c r="U56" i="7"/>
  <c r="P56" i="7"/>
  <c r="O56" i="7"/>
  <c r="N56" i="7"/>
  <c r="M56" i="7"/>
  <c r="L56" i="7"/>
  <c r="G56" i="7"/>
  <c r="F56" i="7"/>
  <c r="E56" i="7"/>
  <c r="D56" i="7"/>
  <c r="C56" i="7"/>
  <c r="CT55" i="7"/>
  <c r="AR55" i="7"/>
  <c r="DC54" i="7"/>
  <c r="CT54" i="7"/>
  <c r="CK54" i="7"/>
  <c r="CB54" i="7"/>
  <c r="BS54" i="7"/>
  <c r="BJ54" i="7"/>
  <c r="BA54" i="7"/>
  <c r="AR54" i="7"/>
  <c r="AI54" i="7"/>
  <c r="Z54" i="7"/>
  <c r="Q54" i="7"/>
  <c r="DC53" i="7"/>
  <c r="CT53" i="7"/>
  <c r="CK53" i="7"/>
  <c r="CB53" i="7"/>
  <c r="BS53" i="7"/>
  <c r="BJ53" i="7"/>
  <c r="BA53" i="7"/>
  <c r="AR53" i="7"/>
  <c r="AI53" i="7"/>
  <c r="Z53" i="7"/>
  <c r="Q53" i="7"/>
  <c r="DC52" i="7"/>
  <c r="CT52" i="7"/>
  <c r="CK52" i="7"/>
  <c r="CB52" i="7"/>
  <c r="BS52" i="7"/>
  <c r="BJ52" i="7"/>
  <c r="BA52" i="7"/>
  <c r="AR52" i="7"/>
  <c r="AI52" i="7"/>
  <c r="Z52" i="7"/>
  <c r="Q52" i="7"/>
  <c r="DC51" i="7"/>
  <c r="CT51" i="7"/>
  <c r="CK51" i="7"/>
  <c r="CB51" i="7"/>
  <c r="BS51" i="7"/>
  <c r="BJ51" i="7"/>
  <c r="BA51" i="7"/>
  <c r="AR51" i="7"/>
  <c r="AI51" i="7"/>
  <c r="Z51" i="7"/>
  <c r="Q51" i="7"/>
  <c r="DC50" i="7"/>
  <c r="CT50" i="7"/>
  <c r="CK50" i="7"/>
  <c r="CB50" i="7"/>
  <c r="BS50" i="7"/>
  <c r="BJ50" i="7"/>
  <c r="BA50" i="7"/>
  <c r="AR50" i="7"/>
  <c r="AI50" i="7"/>
  <c r="Z50" i="7"/>
  <c r="Q50" i="7"/>
  <c r="DC49" i="7"/>
  <c r="CT49" i="7"/>
  <c r="CK49" i="7"/>
  <c r="CB49" i="7"/>
  <c r="BS49" i="7"/>
  <c r="BJ49" i="7"/>
  <c r="BA49" i="7"/>
  <c r="AR49" i="7"/>
  <c r="AI49" i="7"/>
  <c r="Z49" i="7"/>
  <c r="Q49" i="7"/>
  <c r="DC48" i="7"/>
  <c r="CT48" i="7"/>
  <c r="CK48" i="7"/>
  <c r="CB48" i="7"/>
  <c r="BS48" i="7"/>
  <c r="BJ48" i="7"/>
  <c r="BA48" i="7"/>
  <c r="AR48" i="7"/>
  <c r="AI48" i="7"/>
  <c r="Z48" i="7"/>
  <c r="Q48" i="7"/>
  <c r="DC47" i="7"/>
  <c r="CT47" i="7"/>
  <c r="CK47" i="7"/>
  <c r="CB47" i="7"/>
  <c r="BS47" i="7"/>
  <c r="BJ47" i="7"/>
  <c r="BA47" i="7"/>
  <c r="AR47" i="7"/>
  <c r="AI47" i="7"/>
  <c r="Z47" i="7"/>
  <c r="Q47" i="7"/>
  <c r="DC46" i="7"/>
  <c r="CT46" i="7"/>
  <c r="CK46" i="7"/>
  <c r="CB46" i="7"/>
  <c r="BS46" i="7"/>
  <c r="BJ46" i="7"/>
  <c r="BA46" i="7"/>
  <c r="AR46" i="7"/>
  <c r="AI46" i="7"/>
  <c r="Z46" i="7"/>
  <c r="Q46" i="7"/>
  <c r="DC45" i="7"/>
  <c r="CT45" i="7"/>
  <c r="CK45" i="7"/>
  <c r="CB45" i="7"/>
  <c r="BS45" i="7"/>
  <c r="BJ45" i="7"/>
  <c r="BA45" i="7"/>
  <c r="AR45" i="7"/>
  <c r="AI45" i="7"/>
  <c r="Z45" i="7"/>
  <c r="Q45" i="7"/>
  <c r="DC44" i="7"/>
  <c r="CT44" i="7"/>
  <c r="CK44" i="7"/>
  <c r="CB44" i="7"/>
  <c r="BS44" i="7"/>
  <c r="BJ44" i="7"/>
  <c r="BA44" i="7"/>
  <c r="AR44" i="7"/>
  <c r="AI44" i="7"/>
  <c r="Z44" i="7"/>
  <c r="Q44" i="7"/>
  <c r="DC43" i="7"/>
  <c r="CT43" i="7"/>
  <c r="CK43" i="7"/>
  <c r="CB43" i="7"/>
  <c r="BS43" i="7"/>
  <c r="BJ43" i="7"/>
  <c r="BA43" i="7"/>
  <c r="AR43" i="7"/>
  <c r="AI43" i="7"/>
  <c r="Z43" i="7"/>
  <c r="Q43" i="7"/>
  <c r="DC42" i="7"/>
  <c r="CT42" i="7"/>
  <c r="CK42" i="7"/>
  <c r="CB42" i="7"/>
  <c r="BS42" i="7"/>
  <c r="BJ42" i="7"/>
  <c r="BA42" i="7"/>
  <c r="AR42" i="7"/>
  <c r="AI42" i="7"/>
  <c r="Z42" i="7"/>
  <c r="Q42" i="7"/>
  <c r="DC41" i="7"/>
  <c r="CT41" i="7"/>
  <c r="CK41" i="7"/>
  <c r="CB41" i="7"/>
  <c r="BS41" i="7"/>
  <c r="BJ41" i="7"/>
  <c r="BA41" i="7"/>
  <c r="AR41" i="7"/>
  <c r="AI41" i="7"/>
  <c r="Z41" i="7"/>
  <c r="Q41" i="7"/>
  <c r="DC40" i="7"/>
  <c r="CT40" i="7"/>
  <c r="CK40" i="7"/>
  <c r="CB40" i="7"/>
  <c r="BS40" i="7"/>
  <c r="BJ40" i="7"/>
  <c r="BA40" i="7"/>
  <c r="AR40" i="7"/>
  <c r="AI40" i="7"/>
  <c r="Z40" i="7"/>
  <c r="Q40" i="7"/>
  <c r="DC39" i="7"/>
  <c r="CT39" i="7"/>
  <c r="CK39" i="7"/>
  <c r="CB39" i="7"/>
  <c r="BS39" i="7"/>
  <c r="BJ39" i="7"/>
  <c r="BA39" i="7"/>
  <c r="AR39" i="7"/>
  <c r="AI39" i="7"/>
  <c r="Z39" i="7"/>
  <c r="Q39" i="7"/>
  <c r="DL38" i="7"/>
  <c r="DC38" i="7"/>
  <c r="CT38" i="7"/>
  <c r="CK38" i="7"/>
  <c r="CB38" i="7"/>
  <c r="BS38" i="7"/>
  <c r="BJ38" i="7"/>
  <c r="BA38" i="7"/>
  <c r="AR38" i="7"/>
  <c r="AI38" i="7"/>
  <c r="Z38" i="7"/>
  <c r="Q38" i="7"/>
  <c r="DL37" i="7"/>
  <c r="DC37" i="7"/>
  <c r="CT37" i="7"/>
  <c r="CK37" i="7"/>
  <c r="CB37" i="7"/>
  <c r="BS37" i="7"/>
  <c r="BJ37" i="7"/>
  <c r="BA37" i="7"/>
  <c r="AR37" i="7"/>
  <c r="AI37" i="7"/>
  <c r="Z37" i="7"/>
  <c r="Q37" i="7"/>
  <c r="DL36" i="7"/>
  <c r="DC36" i="7"/>
  <c r="CT36" i="7"/>
  <c r="CK36" i="7"/>
  <c r="CB36" i="7"/>
  <c r="BS36" i="7"/>
  <c r="BJ36" i="7"/>
  <c r="BA36" i="7"/>
  <c r="AR36" i="7"/>
  <c r="AI36" i="7"/>
  <c r="Z36" i="7"/>
  <c r="Q36" i="7"/>
  <c r="DL35" i="7"/>
  <c r="DC35" i="7"/>
  <c r="CT35" i="7"/>
  <c r="CK35" i="7"/>
  <c r="CB35" i="7"/>
  <c r="BS35" i="7"/>
  <c r="BJ35" i="7"/>
  <c r="BA35" i="7"/>
  <c r="AR35" i="7"/>
  <c r="AI35" i="7"/>
  <c r="Z35" i="7"/>
  <c r="Q35" i="7"/>
  <c r="DL34" i="7"/>
  <c r="DC34" i="7"/>
  <c r="CT34" i="7"/>
  <c r="CK34" i="7"/>
  <c r="CB34" i="7"/>
  <c r="BS34" i="7"/>
  <c r="BJ34" i="7"/>
  <c r="BA34" i="7"/>
  <c r="AR34" i="7"/>
  <c r="AI34" i="7"/>
  <c r="Z34" i="7"/>
  <c r="Q34" i="7"/>
  <c r="DL33" i="7"/>
  <c r="DC33" i="7"/>
  <c r="CT33" i="7"/>
  <c r="CK33" i="7"/>
  <c r="CB33" i="7"/>
  <c r="BS33" i="7"/>
  <c r="BJ33" i="7"/>
  <c r="BA33" i="7"/>
  <c r="AR33" i="7"/>
  <c r="AI33" i="7"/>
  <c r="Z33" i="7"/>
  <c r="Q33" i="7"/>
  <c r="DL32" i="7"/>
  <c r="DC32" i="7"/>
  <c r="CT32" i="7"/>
  <c r="CK32" i="7"/>
  <c r="CB32" i="7"/>
  <c r="BS32" i="7"/>
  <c r="BJ32" i="7"/>
  <c r="BA32" i="7"/>
  <c r="AR32" i="7"/>
  <c r="AI32" i="7"/>
  <c r="Z32" i="7"/>
  <c r="Q32" i="7"/>
  <c r="DL31" i="7"/>
  <c r="DC31" i="7"/>
  <c r="CT31" i="7"/>
  <c r="CK31" i="7"/>
  <c r="CB31" i="7"/>
  <c r="BS31" i="7"/>
  <c r="BJ31" i="7"/>
  <c r="BA31" i="7"/>
  <c r="AR31" i="7"/>
  <c r="AI31" i="7"/>
  <c r="Z31" i="7"/>
  <c r="Q31" i="7"/>
  <c r="DL30" i="7"/>
  <c r="DC30" i="7"/>
  <c r="CT30" i="7"/>
  <c r="CK30" i="7"/>
  <c r="CB30" i="7"/>
  <c r="BS30" i="7"/>
  <c r="BJ30" i="7"/>
  <c r="BA30" i="7"/>
  <c r="AR30" i="7"/>
  <c r="AI30" i="7"/>
  <c r="Z30" i="7"/>
  <c r="Q30" i="7"/>
  <c r="DL29" i="7"/>
  <c r="DC29" i="7"/>
  <c r="CT29" i="7"/>
  <c r="CK29" i="7"/>
  <c r="CB29" i="7"/>
  <c r="BS29" i="7"/>
  <c r="BJ29" i="7"/>
  <c r="BA29" i="7"/>
  <c r="AR29" i="7"/>
  <c r="AI29" i="7"/>
  <c r="Z29" i="7"/>
  <c r="Q29" i="7"/>
  <c r="DL28" i="7"/>
  <c r="DC28" i="7"/>
  <c r="CT28" i="7"/>
  <c r="CK28" i="7"/>
  <c r="CB28" i="7"/>
  <c r="BS28" i="7"/>
  <c r="BJ28" i="7"/>
  <c r="BA28" i="7"/>
  <c r="AR28" i="7"/>
  <c r="AI28" i="7"/>
  <c r="Z28" i="7"/>
  <c r="Q28" i="7"/>
  <c r="DL27" i="7"/>
  <c r="DC27" i="7"/>
  <c r="CT27" i="7"/>
  <c r="CK27" i="7"/>
  <c r="CB27" i="7"/>
  <c r="BS27" i="7"/>
  <c r="BJ27" i="7"/>
  <c r="BA27" i="7"/>
  <c r="AR27" i="7"/>
  <c r="AI27" i="7"/>
  <c r="Z27" i="7"/>
  <c r="Q27" i="7"/>
  <c r="DL26" i="7"/>
  <c r="DC26" i="7"/>
  <c r="CT26" i="7"/>
  <c r="CK26" i="7"/>
  <c r="CB26" i="7"/>
  <c r="BS26" i="7"/>
  <c r="BJ26" i="7"/>
  <c r="BA26" i="7"/>
  <c r="AR26" i="7"/>
  <c r="AI26" i="7"/>
  <c r="Z26" i="7"/>
  <c r="Q26" i="7"/>
  <c r="DL25" i="7"/>
  <c r="DC25" i="7"/>
  <c r="CT25" i="7"/>
  <c r="CK25" i="7"/>
  <c r="CB25" i="7"/>
  <c r="BS25" i="7"/>
  <c r="BJ25" i="7"/>
  <c r="BA25" i="7"/>
  <c r="AR25" i="7"/>
  <c r="AI25" i="7"/>
  <c r="Z25" i="7"/>
  <c r="Q25" i="7"/>
  <c r="DL24" i="7"/>
  <c r="DC24" i="7"/>
  <c r="CT24" i="7"/>
  <c r="CK24" i="7"/>
  <c r="CB24" i="7"/>
  <c r="BS24" i="7"/>
  <c r="BJ24" i="7"/>
  <c r="BA24" i="7"/>
  <c r="AR24" i="7"/>
  <c r="AI24" i="7"/>
  <c r="Z24" i="7"/>
  <c r="Q24" i="7"/>
  <c r="DL23" i="7"/>
  <c r="DC23" i="7"/>
  <c r="CT23" i="7"/>
  <c r="CK23" i="7"/>
  <c r="CB23" i="7"/>
  <c r="BS23" i="7"/>
  <c r="BJ23" i="7"/>
  <c r="BA23" i="7"/>
  <c r="AR23" i="7"/>
  <c r="AI23" i="7"/>
  <c r="Z23" i="7"/>
  <c r="Q23" i="7"/>
  <c r="DL22" i="7"/>
  <c r="DC22" i="7"/>
  <c r="CT22" i="7"/>
  <c r="CK22" i="7"/>
  <c r="CB22" i="7"/>
  <c r="BS22" i="7"/>
  <c r="BJ22" i="7"/>
  <c r="BA22" i="7"/>
  <c r="AR22" i="7"/>
  <c r="AI22" i="7"/>
  <c r="Z22" i="7"/>
  <c r="Q22" i="7"/>
  <c r="DL21" i="7"/>
  <c r="DC21" i="7"/>
  <c r="CT21" i="7"/>
  <c r="CK21" i="7"/>
  <c r="CB21" i="7"/>
  <c r="BS21" i="7"/>
  <c r="BJ21" i="7"/>
  <c r="BA21" i="7"/>
  <c r="AR21" i="7"/>
  <c r="AI21" i="7"/>
  <c r="Z21" i="7"/>
  <c r="Q21" i="7"/>
  <c r="DL20" i="7"/>
  <c r="DC20" i="7"/>
  <c r="CT20" i="7"/>
  <c r="CK20" i="7"/>
  <c r="CB20" i="7"/>
  <c r="BS20" i="7"/>
  <c r="BJ20" i="7"/>
  <c r="BA20" i="7"/>
  <c r="AR20" i="7"/>
  <c r="AI20" i="7"/>
  <c r="Z20" i="7"/>
  <c r="Q20" i="7"/>
  <c r="DL19" i="7"/>
  <c r="DC19" i="7"/>
  <c r="CT19" i="7"/>
  <c r="CK19" i="7"/>
  <c r="CB19" i="7"/>
  <c r="BS19" i="7"/>
  <c r="BJ19" i="7"/>
  <c r="BA19" i="7"/>
  <c r="AR19" i="7"/>
  <c r="AI19" i="7"/>
  <c r="Z19" i="7"/>
  <c r="Q19" i="7"/>
  <c r="DL18" i="7"/>
  <c r="DC18" i="7"/>
  <c r="CT18" i="7"/>
  <c r="CK18" i="7"/>
  <c r="CB18" i="7"/>
  <c r="BS18" i="7"/>
  <c r="BJ18" i="7"/>
  <c r="BA18" i="7"/>
  <c r="AR18" i="7"/>
  <c r="AI18" i="7"/>
  <c r="Z18" i="7"/>
  <c r="Q18" i="7"/>
  <c r="DL17" i="7"/>
  <c r="DC17" i="7"/>
  <c r="CT17" i="7"/>
  <c r="CK17" i="7"/>
  <c r="CB17" i="7"/>
  <c r="BS17" i="7"/>
  <c r="BJ17" i="7"/>
  <c r="BA17" i="7"/>
  <c r="AR17" i="7"/>
  <c r="AI17" i="7"/>
  <c r="Z17" i="7"/>
  <c r="Q17" i="7"/>
  <c r="DL16" i="7"/>
  <c r="DC16" i="7"/>
  <c r="CT16" i="7"/>
  <c r="CK16" i="7"/>
  <c r="CB16" i="7"/>
  <c r="BS16" i="7"/>
  <c r="BJ16" i="7"/>
  <c r="BA16" i="7"/>
  <c r="AR16" i="7"/>
  <c r="AI16" i="7"/>
  <c r="Z16" i="7"/>
  <c r="Q16" i="7"/>
  <c r="H16" i="7"/>
  <c r="DL15" i="7"/>
  <c r="DC15" i="7"/>
  <c r="CT15" i="7"/>
  <c r="CK15" i="7"/>
  <c r="CB15" i="7"/>
  <c r="BS15" i="7"/>
  <c r="BJ15" i="7"/>
  <c r="BA15" i="7"/>
  <c r="AR15" i="7"/>
  <c r="AI15" i="7"/>
  <c r="Z15" i="7"/>
  <c r="Q15" i="7"/>
  <c r="H15" i="7"/>
  <c r="DL14" i="7"/>
  <c r="DC14" i="7"/>
  <c r="CT14" i="7"/>
  <c r="CK14" i="7"/>
  <c r="CB14" i="7"/>
  <c r="BS14" i="7"/>
  <c r="BJ14" i="7"/>
  <c r="BA14" i="7"/>
  <c r="AR14" i="7"/>
  <c r="AI14" i="7"/>
  <c r="Z14" i="7"/>
  <c r="Q14" i="7"/>
  <c r="H14" i="7"/>
  <c r="DL13" i="7"/>
  <c r="DC13" i="7"/>
  <c r="CT13" i="7"/>
  <c r="CK13" i="7"/>
  <c r="CB13" i="7"/>
  <c r="BS13" i="7"/>
  <c r="BJ13" i="7"/>
  <c r="BA13" i="7"/>
  <c r="AR13" i="7"/>
  <c r="AI13" i="7"/>
  <c r="Z13" i="7"/>
  <c r="Q13" i="7"/>
  <c r="H13" i="7"/>
  <c r="DL12" i="7"/>
  <c r="DC12" i="7"/>
  <c r="CT12" i="7"/>
  <c r="CK12" i="7"/>
  <c r="CB12" i="7"/>
  <c r="BS12" i="7"/>
  <c r="BJ12" i="7"/>
  <c r="BA12" i="7"/>
  <c r="AR12" i="7"/>
  <c r="AI12" i="7"/>
  <c r="Z12" i="7"/>
  <c r="Q12" i="7"/>
  <c r="H12" i="7"/>
  <c r="DL11" i="7"/>
  <c r="DC11" i="7"/>
  <c r="CT11" i="7"/>
  <c r="CK11" i="7"/>
  <c r="CB11" i="7"/>
  <c r="BS11" i="7"/>
  <c r="BJ11" i="7"/>
  <c r="BA11" i="7"/>
  <c r="AR11" i="7"/>
  <c r="AI11" i="7"/>
  <c r="Z11" i="7"/>
  <c r="Q11" i="7"/>
  <c r="H11" i="7"/>
  <c r="DL10" i="7"/>
  <c r="DC10" i="7"/>
  <c r="CT10" i="7"/>
  <c r="CK10" i="7"/>
  <c r="CB10" i="7"/>
  <c r="BS10" i="7"/>
  <c r="BJ10" i="7"/>
  <c r="BA10" i="7"/>
  <c r="AR10" i="7"/>
  <c r="AI10" i="7"/>
  <c r="Z10" i="7"/>
  <c r="Q10" i="7"/>
  <c r="H10" i="7"/>
  <c r="DL9" i="7"/>
  <c r="DC9" i="7"/>
  <c r="CT9" i="7"/>
  <c r="CK9" i="7"/>
  <c r="CB9" i="7"/>
  <c r="BS9" i="7"/>
  <c r="BJ9" i="7"/>
  <c r="BA9" i="7"/>
  <c r="AR9" i="7"/>
  <c r="AI9" i="7"/>
  <c r="Z9" i="7"/>
  <c r="Q9" i="7"/>
  <c r="H9" i="7"/>
  <c r="DL8" i="7"/>
  <c r="DC8" i="7"/>
  <c r="CT8" i="7"/>
  <c r="CK8" i="7"/>
  <c r="CB8" i="7"/>
  <c r="BS8" i="7"/>
  <c r="BJ8" i="7"/>
  <c r="BA8" i="7"/>
  <c r="AR8" i="7"/>
  <c r="AI8" i="7"/>
  <c r="Z8" i="7"/>
  <c r="Q8" i="7"/>
  <c r="H8" i="7"/>
  <c r="H56" i="7" s="1"/>
  <c r="DL7" i="7"/>
  <c r="DC7" i="7"/>
  <c r="CT7" i="7"/>
  <c r="CK7" i="7"/>
  <c r="CB7" i="7"/>
  <c r="BS7" i="7"/>
  <c r="BJ7" i="7"/>
  <c r="BJ56" i="7" s="1"/>
  <c r="BA7" i="7"/>
  <c r="AR7" i="7"/>
  <c r="AI7" i="7"/>
  <c r="Z7" i="7"/>
  <c r="Q7" i="7"/>
  <c r="Q56" i="7" s="1"/>
  <c r="H7" i="7"/>
  <c r="DL6" i="7"/>
  <c r="DC6" i="7"/>
  <c r="CT6" i="7"/>
  <c r="CK6" i="7"/>
  <c r="CB6" i="7"/>
  <c r="BS6" i="7"/>
  <c r="BS56" i="7" s="1"/>
  <c r="BJ6" i="7"/>
  <c r="BA6" i="7"/>
  <c r="AR6" i="7"/>
  <c r="AI6" i="7"/>
  <c r="Z6" i="7"/>
  <c r="Z56" i="7" s="1"/>
  <c r="Q6" i="7"/>
  <c r="H6" i="7"/>
  <c r="DL5" i="7"/>
  <c r="DC5" i="7"/>
  <c r="CT5" i="7"/>
  <c r="CK5" i="7"/>
  <c r="CB5" i="7"/>
  <c r="CB56" i="7" s="1"/>
  <c r="BS5" i="7"/>
  <c r="BJ5" i="7"/>
  <c r="BA5" i="7"/>
  <c r="AR5" i="7"/>
  <c r="AI5" i="7"/>
  <c r="AI56" i="7" s="1"/>
  <c r="Z5" i="7"/>
  <c r="Q5" i="7"/>
  <c r="H5" i="7"/>
  <c r="DL4" i="7"/>
  <c r="DC4" i="7"/>
  <c r="CT4" i="7"/>
  <c r="CK4" i="7"/>
  <c r="CK56" i="7" s="1"/>
  <c r="CB4" i="7"/>
  <c r="BS4" i="7"/>
  <c r="BJ4" i="7"/>
  <c r="BA4" i="7"/>
  <c r="AR4" i="7"/>
  <c r="AR56" i="7" s="1"/>
  <c r="AI4" i="7"/>
  <c r="Z4" i="7"/>
  <c r="Q4" i="7"/>
  <c r="H4" i="7"/>
  <c r="DL3" i="7"/>
  <c r="DL56" i="7" s="1"/>
  <c r="DC3" i="7"/>
  <c r="DC56" i="7" s="1"/>
  <c r="CT3" i="7"/>
  <c r="CT56" i="7" s="1"/>
  <c r="CK3" i="7"/>
  <c r="CB3" i="7"/>
  <c r="BS3" i="7"/>
  <c r="BJ3" i="7"/>
  <c r="BA3" i="7"/>
  <c r="BA56" i="7" s="1"/>
  <c r="AR3" i="7"/>
  <c r="AI3" i="7"/>
  <c r="Z3" i="7"/>
  <c r="Q3" i="7"/>
  <c r="H3" i="7"/>
  <c r="B7" i="6"/>
  <c r="B6" i="6"/>
  <c r="B5" i="6"/>
  <c r="B4" i="6"/>
  <c r="B8" i="6" s="1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F7" i="6" s="1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D6" i="6" s="1"/>
  <c r="H9" i="4"/>
  <c r="H8" i="4"/>
  <c r="H7" i="4"/>
  <c r="H6" i="4"/>
  <c r="H5" i="4"/>
  <c r="H4" i="4"/>
  <c r="H3" i="4"/>
  <c r="C6" i="6" s="1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F5" i="6" s="1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F4" i="6" s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H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  <c r="AI3" i="1"/>
  <c r="Z3" i="1"/>
  <c r="Q3" i="1"/>
  <c r="H3" i="1"/>
  <c r="C4" i="6" l="1"/>
  <c r="E6" i="6"/>
  <c r="D4" i="6"/>
  <c r="F6" i="6"/>
  <c r="F8" i="6" s="1"/>
  <c r="E4" i="6"/>
  <c r="C7" i="6"/>
  <c r="D7" i="6"/>
  <c r="C5" i="6"/>
  <c r="E7" i="6"/>
  <c r="D5" i="6"/>
  <c r="E5" i="6"/>
  <c r="C8" i="6" l="1"/>
  <c r="E8" i="6"/>
  <c r="D8" i="6"/>
</calcChain>
</file>

<file path=xl/sharedStrings.xml><?xml version="1.0" encoding="utf-8"?>
<sst xmlns="http://schemas.openxmlformats.org/spreadsheetml/2006/main" count="2593" uniqueCount="755">
  <si>
    <t>BINGO 2026</t>
  </si>
  <si>
    <t>BINGO 2025</t>
  </si>
  <si>
    <t>BINGO 2024</t>
  </si>
  <si>
    <t>BINGO 2023</t>
  </si>
  <si>
    <t>N°</t>
  </si>
  <si>
    <t>Date</t>
  </si>
  <si>
    <t>N1</t>
  </si>
  <si>
    <t>N2</t>
  </si>
  <si>
    <t>N3</t>
  </si>
  <si>
    <t>N4</t>
  </si>
  <si>
    <t>N5</t>
  </si>
  <si>
    <t>TOTAL</t>
  </si>
  <si>
    <t>BINGO132</t>
  </si>
  <si>
    <t>3/1/2026</t>
  </si>
  <si>
    <t>BINGO080</t>
  </si>
  <si>
    <t>4/1/2025</t>
  </si>
  <si>
    <t>BINGO028</t>
  </si>
  <si>
    <t>6/1/2024</t>
  </si>
  <si>
    <t>BINGO001</t>
  </si>
  <si>
    <t>1/7/2023</t>
  </si>
  <si>
    <t>BINGO133</t>
  </si>
  <si>
    <t>10/1/2026</t>
  </si>
  <si>
    <t>BINGO081</t>
  </si>
  <si>
    <t>11/1/2025</t>
  </si>
  <si>
    <t>BINGO029</t>
  </si>
  <si>
    <t>13/1/2024</t>
  </si>
  <si>
    <t>BINGO002</t>
  </si>
  <si>
    <t>8/7/2023</t>
  </si>
  <si>
    <t>BINGO134</t>
  </si>
  <si>
    <t>17/1/2026</t>
  </si>
  <si>
    <t>BINGO082</t>
  </si>
  <si>
    <t>18/1/2025</t>
  </si>
  <si>
    <t>BINGO030</t>
  </si>
  <si>
    <t>20/1/2024</t>
  </si>
  <si>
    <t>BINGO003</t>
  </si>
  <si>
    <t>15/7/2023</t>
  </si>
  <si>
    <t>BINGO135</t>
  </si>
  <si>
    <t>24/1/2026</t>
  </si>
  <si>
    <t>BINGO083</t>
  </si>
  <si>
    <t>25/1/2025</t>
  </si>
  <si>
    <t>BINGO031</t>
  </si>
  <si>
    <t>27/1/2024</t>
  </si>
  <si>
    <t>BINGO004</t>
  </si>
  <si>
    <t>22/7/2023</t>
  </si>
  <si>
    <t>BINGO136</t>
  </si>
  <si>
    <t>31/1/2026</t>
  </si>
  <si>
    <t>BINGO084</t>
  </si>
  <si>
    <t>1/2/2025</t>
  </si>
  <si>
    <t>BINGO032</t>
  </si>
  <si>
    <t>3/2/2024</t>
  </si>
  <si>
    <t>BINGO005</t>
  </si>
  <si>
    <t>29/7/2023</t>
  </si>
  <si>
    <t>BINGO137</t>
  </si>
  <si>
    <t>7/2/2026</t>
  </si>
  <si>
    <t>BINGO085</t>
  </si>
  <si>
    <t>8/2/2025</t>
  </si>
  <si>
    <t>BINGO033</t>
  </si>
  <si>
    <t>10/2/2024</t>
  </si>
  <si>
    <t>BINGO006</t>
  </si>
  <si>
    <t>5/8/2023</t>
  </si>
  <si>
    <t>BINGO138</t>
  </si>
  <si>
    <t>14/2/2026</t>
  </si>
  <si>
    <t>BINGO086</t>
  </si>
  <si>
    <t>15/2/2025</t>
  </si>
  <si>
    <t>BINGO034</t>
  </si>
  <si>
    <t>17/2/2024</t>
  </si>
  <si>
    <t>BINGO007</t>
  </si>
  <si>
    <t>12/8/2023</t>
  </si>
  <si>
    <t>BINGO139</t>
  </si>
  <si>
    <t>21/2/2026</t>
  </si>
  <si>
    <t>BINGO087</t>
  </si>
  <si>
    <t>22/2/2025</t>
  </si>
  <si>
    <t>BINGO035</t>
  </si>
  <si>
    <t>24/2/2024</t>
  </si>
  <si>
    <t>BINGO008</t>
  </si>
  <si>
    <t>19/8/2023</t>
  </si>
  <si>
    <t>BINGO140</t>
  </si>
  <si>
    <t>28/2/2026</t>
  </si>
  <si>
    <t>BINGO088</t>
  </si>
  <si>
    <t>1/3/2025</t>
  </si>
  <si>
    <t>BINGO036</t>
  </si>
  <si>
    <t>2/3/2024</t>
  </si>
  <si>
    <t>BINGO009</t>
  </si>
  <si>
    <t>26/8/2023</t>
  </si>
  <si>
    <t>BINGO141</t>
  </si>
  <si>
    <t>7/3/2026</t>
  </si>
  <si>
    <t>BINGO089</t>
  </si>
  <si>
    <t>8/3/2025</t>
  </si>
  <si>
    <t>BINGO037</t>
  </si>
  <si>
    <t>9/3/2024</t>
  </si>
  <si>
    <t>BINGO010</t>
  </si>
  <si>
    <t>2/9/2023</t>
  </si>
  <si>
    <t>BINGO142</t>
  </si>
  <si>
    <t>14/3/2026</t>
  </si>
  <si>
    <t>BINGO090</t>
  </si>
  <si>
    <t>15/3/2025</t>
  </si>
  <si>
    <t>BINGO038</t>
  </si>
  <si>
    <t>16/3/2024</t>
  </si>
  <si>
    <t>BINGO011</t>
  </si>
  <si>
    <t>9/9/2023</t>
  </si>
  <si>
    <t>BINGO143</t>
  </si>
  <si>
    <t>21/3/2026</t>
  </si>
  <si>
    <t>BINGO091</t>
  </si>
  <si>
    <t>22/3/2025</t>
  </si>
  <si>
    <t>BINGO039</t>
  </si>
  <si>
    <t>23/3/2024</t>
  </si>
  <si>
    <t>BINGO012</t>
  </si>
  <si>
    <t>16/9/2023</t>
  </si>
  <si>
    <t>BINGO144</t>
  </si>
  <si>
    <t>28/3/2026</t>
  </si>
  <si>
    <t>BINGO092</t>
  </si>
  <si>
    <t>29/3/2025</t>
  </si>
  <si>
    <t>BINGO040</t>
  </si>
  <si>
    <t>30/3/2024</t>
  </si>
  <si>
    <t>BINGO013</t>
  </si>
  <si>
    <t>23/9/2023</t>
  </si>
  <si>
    <t>BINGO145</t>
  </si>
  <si>
    <t>4/4/2026</t>
  </si>
  <si>
    <t>BINGO093</t>
  </si>
  <si>
    <t>5/4/2025</t>
  </si>
  <si>
    <t>BINGO041</t>
  </si>
  <si>
    <t>6/4/2024</t>
  </si>
  <si>
    <t>BINGO014</t>
  </si>
  <si>
    <t>30/9/2023</t>
  </si>
  <si>
    <t>BINGO146</t>
  </si>
  <si>
    <t>11/4/2026</t>
  </si>
  <si>
    <t>BINGO094</t>
  </si>
  <si>
    <t>12/4/2025</t>
  </si>
  <si>
    <t>BINGO042</t>
  </si>
  <si>
    <t>13/4/2024</t>
  </si>
  <si>
    <t>BINGO015</t>
  </si>
  <si>
    <t>7/10/2023</t>
  </si>
  <si>
    <t>BINGO147</t>
  </si>
  <si>
    <t>18/4/2026</t>
  </si>
  <si>
    <t>BINGO095</t>
  </si>
  <si>
    <t>19/4/2025</t>
  </si>
  <si>
    <t>BINGO043</t>
  </si>
  <si>
    <t>20/4/2024</t>
  </si>
  <si>
    <t>BINGO016</t>
  </si>
  <si>
    <t>14/10/2023</t>
  </si>
  <si>
    <t>BINGO148</t>
  </si>
  <si>
    <t>25/4/2026</t>
  </si>
  <si>
    <t>BINGO096</t>
  </si>
  <si>
    <t>26/4/2025</t>
  </si>
  <si>
    <t>BINGO044</t>
  </si>
  <si>
    <t>27/4/2024</t>
  </si>
  <si>
    <t>BINGO017</t>
  </si>
  <si>
    <t>21/10/2023</t>
  </si>
  <si>
    <t>BINGO149</t>
  </si>
  <si>
    <t>2/5/2026</t>
  </si>
  <si>
    <t>BINGO097</t>
  </si>
  <si>
    <t>3/5/2025</t>
  </si>
  <si>
    <t>BINGO045</t>
  </si>
  <si>
    <t>4/5/2024</t>
  </si>
  <si>
    <t>BINGO018</t>
  </si>
  <si>
    <t>28/10/2023</t>
  </si>
  <si>
    <t>BINGO150</t>
  </si>
  <si>
    <t>9/5/2026</t>
  </si>
  <si>
    <t>BINGO098</t>
  </si>
  <si>
    <t>10/5/2025</t>
  </si>
  <si>
    <t>BINGO046</t>
  </si>
  <si>
    <t>11/5/2024</t>
  </si>
  <si>
    <t>BINGO019</t>
  </si>
  <si>
    <t>4/11/2023</t>
  </si>
  <si>
    <t>BINGO151</t>
  </si>
  <si>
    <t>16/5/2026</t>
  </si>
  <si>
    <t>BINGO099</t>
  </si>
  <si>
    <t>17/5/2025</t>
  </si>
  <si>
    <t>BINGO047</t>
  </si>
  <si>
    <t>18/5/2024</t>
  </si>
  <si>
    <t>BINGO020</t>
  </si>
  <si>
    <t>11/11/2023</t>
  </si>
  <si>
    <t>BINGO152</t>
  </si>
  <si>
    <t>23/5/2026</t>
  </si>
  <si>
    <t>BINGO100</t>
  </si>
  <si>
    <t>24/5/2025</t>
  </si>
  <si>
    <t>BINGO048</t>
  </si>
  <si>
    <t>25/5/2024</t>
  </si>
  <si>
    <t>BINGO021</t>
  </si>
  <si>
    <t>18/11/2023</t>
  </si>
  <si>
    <t>BINGO153</t>
  </si>
  <si>
    <t>30/5/2026</t>
  </si>
  <si>
    <t>BINGO101</t>
  </si>
  <si>
    <t>31/5/2025</t>
  </si>
  <si>
    <t>BINGO049</t>
  </si>
  <si>
    <t>1/6/2024</t>
  </si>
  <si>
    <t>BINGO022</t>
  </si>
  <si>
    <t>25/11/2023</t>
  </si>
  <si>
    <t>BINGO154</t>
  </si>
  <si>
    <t>6/6/2026</t>
  </si>
  <si>
    <t>BINGO102</t>
  </si>
  <si>
    <t>7/6/2025</t>
  </si>
  <si>
    <t>BINGO050</t>
  </si>
  <si>
    <t>8/6/2024</t>
  </si>
  <si>
    <t>BINGO023</t>
  </si>
  <si>
    <t>2/12/2023</t>
  </si>
  <si>
    <t>BINGO155</t>
  </si>
  <si>
    <t>13/6/2026</t>
  </si>
  <si>
    <t>BINGO103</t>
  </si>
  <si>
    <t>14/6/2025</t>
  </si>
  <si>
    <t>BINGO051</t>
  </si>
  <si>
    <t>15/6/2024</t>
  </si>
  <si>
    <t>BINGO024</t>
  </si>
  <si>
    <t>9/12/2023</t>
  </si>
  <si>
    <t>BINGO156</t>
  </si>
  <si>
    <t>20/6/2026</t>
  </si>
  <si>
    <t>BINGO104</t>
  </si>
  <si>
    <t>21/6/2025</t>
  </si>
  <si>
    <t>BINGO052</t>
  </si>
  <si>
    <t>22/6/2024</t>
  </si>
  <si>
    <t>BINGO025</t>
  </si>
  <si>
    <t>16/12/2023</t>
  </si>
  <si>
    <t>BINGO157</t>
  </si>
  <si>
    <t>27/6/2026</t>
  </si>
  <si>
    <t>BINGO105</t>
  </si>
  <si>
    <t>28/6/2025</t>
  </si>
  <si>
    <t>BINGO053</t>
  </si>
  <si>
    <t>29/6/2024</t>
  </si>
  <si>
    <t>BINGO026</t>
  </si>
  <si>
    <t>23/12/2023</t>
  </si>
  <si>
    <t>BINGO158</t>
  </si>
  <si>
    <t>4/7/2026</t>
  </si>
  <si>
    <t>BINGO106</t>
  </si>
  <si>
    <t>5/7/2025</t>
  </si>
  <si>
    <t>BINGO054</t>
  </si>
  <si>
    <t>6/7/2024</t>
  </si>
  <si>
    <t>BINGO027</t>
  </si>
  <si>
    <t>30/12/2023</t>
  </si>
  <si>
    <t>BINGO107</t>
  </si>
  <si>
    <t>12/7/2025</t>
  </si>
  <si>
    <t>BINGO055</t>
  </si>
  <si>
    <t>13/7/2024</t>
  </si>
  <si>
    <t>BINGO108</t>
  </si>
  <si>
    <t>19/7/2025</t>
  </si>
  <si>
    <t>BINGO056</t>
  </si>
  <si>
    <t>20/7/2024</t>
  </si>
  <si>
    <t>BINGO109</t>
  </si>
  <si>
    <t>26/7/2025</t>
  </si>
  <si>
    <t>BINGO057</t>
  </si>
  <si>
    <t>27/7/2024</t>
  </si>
  <si>
    <t>BINGO110</t>
  </si>
  <si>
    <t>2/8/2025</t>
  </si>
  <si>
    <t>BINGO058</t>
  </si>
  <si>
    <t>3/8/2024</t>
  </si>
  <si>
    <t>BINGO111</t>
  </si>
  <si>
    <t>9/8/2025</t>
  </si>
  <si>
    <t>BINGO059</t>
  </si>
  <si>
    <t>10/8/2024</t>
  </si>
  <si>
    <t>BINGO112</t>
  </si>
  <si>
    <t>16/8/2025</t>
  </si>
  <si>
    <t>BINGO060</t>
  </si>
  <si>
    <t>17/8/2024</t>
  </si>
  <si>
    <t>BINGO113</t>
  </si>
  <si>
    <t>23/8/2025</t>
  </si>
  <si>
    <t>BINGO061</t>
  </si>
  <si>
    <t>24/8/2024</t>
  </si>
  <si>
    <t>BINGO114</t>
  </si>
  <si>
    <t>30/8/2025</t>
  </si>
  <si>
    <t>BINGO062</t>
  </si>
  <si>
    <t>31/8/2024</t>
  </si>
  <si>
    <t>BINGO115</t>
  </si>
  <si>
    <t>6/9/2025</t>
  </si>
  <si>
    <t>BINGO063</t>
  </si>
  <si>
    <t>7/9/2024</t>
  </si>
  <si>
    <t>BINGO116</t>
  </si>
  <si>
    <t>13/9/2025</t>
  </si>
  <si>
    <t>BINGO064</t>
  </si>
  <si>
    <t>14/9/2024</t>
  </si>
  <si>
    <t>BINGO117</t>
  </si>
  <si>
    <t>20/9/2025</t>
  </si>
  <si>
    <t>BINGO065</t>
  </si>
  <si>
    <t>21/9/2024</t>
  </si>
  <si>
    <t>BINGO118</t>
  </si>
  <si>
    <t>27/9/2025</t>
  </si>
  <si>
    <t>BINGO066</t>
  </si>
  <si>
    <t>28/9/2024</t>
  </si>
  <si>
    <t>BINGO119</t>
  </si>
  <si>
    <t>4/10/2025</t>
  </si>
  <si>
    <t>BINGO067</t>
  </si>
  <si>
    <t>5/10/2024</t>
  </si>
  <si>
    <t>BINGO120</t>
  </si>
  <si>
    <t>11/10/2025</t>
  </si>
  <si>
    <t>BINGO068</t>
  </si>
  <si>
    <t>12/10/2024</t>
  </si>
  <si>
    <t>BINGO121</t>
  </si>
  <si>
    <t>18/10/2025</t>
  </si>
  <si>
    <t>BINGO069</t>
  </si>
  <si>
    <t>19/10/2024</t>
  </si>
  <si>
    <t>BINGO122</t>
  </si>
  <si>
    <t>25/10/2025</t>
  </si>
  <si>
    <t>BINGO070</t>
  </si>
  <si>
    <t>26/10/2024</t>
  </si>
  <si>
    <t>BINGO123</t>
  </si>
  <si>
    <t>1/11/2025</t>
  </si>
  <si>
    <t>BINGO071</t>
  </si>
  <si>
    <t>2/11/2024</t>
  </si>
  <si>
    <t>BINGO124</t>
  </si>
  <si>
    <t>8/11/2025</t>
  </si>
  <si>
    <t>BINGO072</t>
  </si>
  <si>
    <t>9/11/2024</t>
  </si>
  <si>
    <t>BINGO125</t>
  </si>
  <si>
    <t>15/11/2025</t>
  </si>
  <si>
    <t>BINGO073</t>
  </si>
  <si>
    <t>16/11/2024</t>
  </si>
  <si>
    <t>BINGO126</t>
  </si>
  <si>
    <t>22/11/2025</t>
  </si>
  <si>
    <t>BINGO074</t>
  </si>
  <si>
    <t>23/11/2024</t>
  </si>
  <si>
    <t>BINGO127</t>
  </si>
  <si>
    <t>29/11/2025</t>
  </si>
  <si>
    <t>BINGO075</t>
  </si>
  <si>
    <t>30/11/2024</t>
  </si>
  <si>
    <t>BINGO128</t>
  </si>
  <si>
    <t>6/12/2025</t>
  </si>
  <si>
    <t>BINGO076</t>
  </si>
  <si>
    <t>7/12/2024</t>
  </si>
  <si>
    <t>BINGO129</t>
  </si>
  <si>
    <t>13/12/2025</t>
  </si>
  <si>
    <t>BINGO077</t>
  </si>
  <si>
    <t>14/12/2024</t>
  </si>
  <si>
    <t>BINGO130</t>
  </si>
  <si>
    <t>20/12/2025</t>
  </si>
  <si>
    <t>BINGO078</t>
  </si>
  <si>
    <t>21/12/2024</t>
  </si>
  <si>
    <t>BINGO131</t>
  </si>
  <si>
    <t>27/12/2025</t>
  </si>
  <si>
    <t>BINGO079</t>
  </si>
  <si>
    <t>28/12/2024</t>
  </si>
  <si>
    <t>Statistiques 2026</t>
  </si>
  <si>
    <t>Nombre de tirages</t>
  </si>
  <si>
    <t>Total général</t>
  </si>
  <si>
    <t>Moyenne TOTAL</t>
  </si>
  <si>
    <t>TOTAL max</t>
  </si>
  <si>
    <t>TOTAL min</t>
  </si>
  <si>
    <t>Moyenne N1</t>
  </si>
  <si>
    <t>Moyenne N2</t>
  </si>
  <si>
    <t>Moyenne N3</t>
  </si>
  <si>
    <t>Moyenne N4</t>
  </si>
  <si>
    <t>Moyenne N5</t>
  </si>
  <si>
    <t>Statistiques 2025</t>
  </si>
  <si>
    <t>Statistiques 2024</t>
  </si>
  <si>
    <t>Statistiques 2023</t>
  </si>
  <si>
    <t>STATISTIQUES GLOBALES</t>
  </si>
  <si>
    <t>Année</t>
  </si>
  <si>
    <t>Tirages</t>
  </si>
  <si>
    <t>Total</t>
  </si>
  <si>
    <t>Moyenne</t>
  </si>
  <si>
    <t>Max</t>
  </si>
  <si>
    <t>Min</t>
  </si>
  <si>
    <t>FRÉQUENCE DES NUMÉROS (toutes années)</t>
  </si>
  <si>
    <t>Numéro</t>
  </si>
  <si>
    <t>Sorties</t>
  </si>
  <si>
    <t>TOP 10 (les + sortis)</t>
  </si>
  <si>
    <t>FLOP 10 (les - sortis)</t>
  </si>
  <si>
    <t>NATIONAL WEEK 1962</t>
  </si>
  <si>
    <t>NATIONAL WEEK 1963</t>
  </si>
  <si>
    <t>NATIONAL WEEK 1964</t>
  </si>
  <si>
    <t>NATIONAL WEEK 1965</t>
  </si>
  <si>
    <t>NATIONAL WEEK 1966</t>
  </si>
  <si>
    <t>NATIONAL WEEK 1967</t>
  </si>
  <si>
    <t>NATIONAL WEEK 1968</t>
  </si>
  <si>
    <t>NATIONAL WEEK 1969</t>
  </si>
  <si>
    <t>NATIONAL WEEK 1970</t>
  </si>
  <si>
    <t>NATIONAL WEEK 1971</t>
  </si>
  <si>
    <t>NATIONAL WEEK 1972</t>
  </si>
  <si>
    <t>NATIONAL WEEK 1973</t>
  </si>
  <si>
    <t>NATIONAL WEEK 1974 (en cours)</t>
  </si>
  <si>
    <t>TIRAGE</t>
  </si>
  <si>
    <t>DATE</t>
  </si>
  <si>
    <t>N°1</t>
  </si>
  <si>
    <t>N°2</t>
  </si>
  <si>
    <t>N°3</t>
  </si>
  <si>
    <t>N°4</t>
  </si>
  <si>
    <t>N°5</t>
  </si>
  <si>
    <t>29/9</t>
  </si>
  <si>
    <t>5/1</t>
  </si>
  <si>
    <t>4/1</t>
  </si>
  <si>
    <t>2/1</t>
  </si>
  <si>
    <t>1/1</t>
  </si>
  <si>
    <t>7/1</t>
  </si>
  <si>
    <t>6/1</t>
  </si>
  <si>
    <t>3/1</t>
  </si>
  <si>
    <t>6/10</t>
  </si>
  <si>
    <t>12/1</t>
  </si>
  <si>
    <t>11/1</t>
  </si>
  <si>
    <t>9/1</t>
  </si>
  <si>
    <t>8/1</t>
  </si>
  <si>
    <t>14/1</t>
  </si>
  <si>
    <t>13/1</t>
  </si>
  <si>
    <t>10/1</t>
  </si>
  <si>
    <t>13/10</t>
  </si>
  <si>
    <t>19/1</t>
  </si>
  <si>
    <t>18/1</t>
  </si>
  <si>
    <t>16/1</t>
  </si>
  <si>
    <t>15/1</t>
  </si>
  <si>
    <t>21/1</t>
  </si>
  <si>
    <t>20/1</t>
  </si>
  <si>
    <t>17/1</t>
  </si>
  <si>
    <t>20/10</t>
  </si>
  <si>
    <t>26/1</t>
  </si>
  <si>
    <t>25/1</t>
  </si>
  <si>
    <t>23/1</t>
  </si>
  <si>
    <t>22/1</t>
  </si>
  <si>
    <t>28/1</t>
  </si>
  <si>
    <t>27/1</t>
  </si>
  <si>
    <t>24/1</t>
  </si>
  <si>
    <t>27/10</t>
  </si>
  <si>
    <t>2/2</t>
  </si>
  <si>
    <t>1/2</t>
  </si>
  <si>
    <t>30/1</t>
  </si>
  <si>
    <t>29/1</t>
  </si>
  <si>
    <t>4/2</t>
  </si>
  <si>
    <t>3/2</t>
  </si>
  <si>
    <t>31/1</t>
  </si>
  <si>
    <t>3/11</t>
  </si>
  <si>
    <t>9/2</t>
  </si>
  <si>
    <t>8/2</t>
  </si>
  <si>
    <t>6/2</t>
  </si>
  <si>
    <t>5/2</t>
  </si>
  <si>
    <t>11/2</t>
  </si>
  <si>
    <t>10/2</t>
  </si>
  <si>
    <t>7/2</t>
  </si>
  <si>
    <t>10/11</t>
  </si>
  <si>
    <t>16/2</t>
  </si>
  <si>
    <t>15/2</t>
  </si>
  <si>
    <t>13/2</t>
  </si>
  <si>
    <t>12/2</t>
  </si>
  <si>
    <t>18/2</t>
  </si>
  <si>
    <t>17/2</t>
  </si>
  <si>
    <t>14/2</t>
  </si>
  <si>
    <t>17/11</t>
  </si>
  <si>
    <t>23/2</t>
  </si>
  <si>
    <t>22/2</t>
  </si>
  <si>
    <t>20/2</t>
  </si>
  <si>
    <t>19/2</t>
  </si>
  <si>
    <t>25/2</t>
  </si>
  <si>
    <t>24/2</t>
  </si>
  <si>
    <t>21/2</t>
  </si>
  <si>
    <t>24/11</t>
  </si>
  <si>
    <t>2/3</t>
  </si>
  <si>
    <t>29/2</t>
  </si>
  <si>
    <t>27/2</t>
  </si>
  <si>
    <t>26/2</t>
  </si>
  <si>
    <t>4/3</t>
  </si>
  <si>
    <t>1/3</t>
  </si>
  <si>
    <t>28/2</t>
  </si>
  <si>
    <t>3/3</t>
  </si>
  <si>
    <t>1/12</t>
  </si>
  <si>
    <t>9/3</t>
  </si>
  <si>
    <t>7/3</t>
  </si>
  <si>
    <t>6/3</t>
  </si>
  <si>
    <t>5/3</t>
  </si>
  <si>
    <t>11/3</t>
  </si>
  <si>
    <t>8/3</t>
  </si>
  <si>
    <t>8/12</t>
  </si>
  <si>
    <t>16/3</t>
  </si>
  <si>
    <t>14/3</t>
  </si>
  <si>
    <t>13/3</t>
  </si>
  <si>
    <t>12/3</t>
  </si>
  <si>
    <t>18/3</t>
  </si>
  <si>
    <t>15/3</t>
  </si>
  <si>
    <t>15/12</t>
  </si>
  <si>
    <t>23/3</t>
  </si>
  <si>
    <t>21/3</t>
  </si>
  <si>
    <t>20/3</t>
  </si>
  <si>
    <t>19/3</t>
  </si>
  <si>
    <t>25/3</t>
  </si>
  <si>
    <t>22/3</t>
  </si>
  <si>
    <t>24/3</t>
  </si>
  <si>
    <t>22/12</t>
  </si>
  <si>
    <t>30/3</t>
  </si>
  <si>
    <t>28/3</t>
  </si>
  <si>
    <t>27/3</t>
  </si>
  <si>
    <t>26/3</t>
  </si>
  <si>
    <t>1/4</t>
  </si>
  <si>
    <t>29/3</t>
  </si>
  <si>
    <t>31/3</t>
  </si>
  <si>
    <t>29/12</t>
  </si>
  <si>
    <t>6/4</t>
  </si>
  <si>
    <t>4/4</t>
  </si>
  <si>
    <t>3/4</t>
  </si>
  <si>
    <t>2/4</t>
  </si>
  <si>
    <t>8/4</t>
  </si>
  <si>
    <t>5/4</t>
  </si>
  <si>
    <t>7/4</t>
  </si>
  <si>
    <t>13/4</t>
  </si>
  <si>
    <t>11/4</t>
  </si>
  <si>
    <t>10/4</t>
  </si>
  <si>
    <t>9/4</t>
  </si>
  <si>
    <t>15/4</t>
  </si>
  <si>
    <t>12/4</t>
  </si>
  <si>
    <t>14/4</t>
  </si>
  <si>
    <t>20/4</t>
  </si>
  <si>
    <t>18/4</t>
  </si>
  <si>
    <t>17/4</t>
  </si>
  <si>
    <t>16/4</t>
  </si>
  <si>
    <t>22/4</t>
  </si>
  <si>
    <t>19/4</t>
  </si>
  <si>
    <t>21/4</t>
  </si>
  <si>
    <t>27/4</t>
  </si>
  <si>
    <t>25/4</t>
  </si>
  <si>
    <t>24/4</t>
  </si>
  <si>
    <t>23/4</t>
  </si>
  <si>
    <t>29/4</t>
  </si>
  <si>
    <t>26/4</t>
  </si>
  <si>
    <t>28/4</t>
  </si>
  <si>
    <t>4/5</t>
  </si>
  <si>
    <t>2/5</t>
  </si>
  <si>
    <t>1/5</t>
  </si>
  <si>
    <t>30/4</t>
  </si>
  <si>
    <t>6/5</t>
  </si>
  <si>
    <t>3/5</t>
  </si>
  <si>
    <t>5/5</t>
  </si>
  <si>
    <t>11/5</t>
  </si>
  <si>
    <t>9/5</t>
  </si>
  <si>
    <t>8/5</t>
  </si>
  <si>
    <t>7/5</t>
  </si>
  <si>
    <t>13/5</t>
  </si>
  <si>
    <t>10/5</t>
  </si>
  <si>
    <t>12/5</t>
  </si>
  <si>
    <t>18/5</t>
  </si>
  <si>
    <t>16/5</t>
  </si>
  <si>
    <t>15/5</t>
  </si>
  <si>
    <t>14/5</t>
  </si>
  <si>
    <t>20/5</t>
  </si>
  <si>
    <t>17/5</t>
  </si>
  <si>
    <t>19/5</t>
  </si>
  <si>
    <t>25/5</t>
  </si>
  <si>
    <t>23/5</t>
  </si>
  <si>
    <t>22/5</t>
  </si>
  <si>
    <t>21/5</t>
  </si>
  <si>
    <t>27/5</t>
  </si>
  <si>
    <t>24/5</t>
  </si>
  <si>
    <t>26/5</t>
  </si>
  <si>
    <t>1/6</t>
  </si>
  <si>
    <t>30/5</t>
  </si>
  <si>
    <t>29/5</t>
  </si>
  <si>
    <t>28/5</t>
  </si>
  <si>
    <t>3/6</t>
  </si>
  <si>
    <t>31/5</t>
  </si>
  <si>
    <t>2/6</t>
  </si>
  <si>
    <t>8/6</t>
  </si>
  <si>
    <t>6/6</t>
  </si>
  <si>
    <t>5/6</t>
  </si>
  <si>
    <t>4/6</t>
  </si>
  <si>
    <t>10/6</t>
  </si>
  <si>
    <t>7/6</t>
  </si>
  <si>
    <t>9/6</t>
  </si>
  <si>
    <t>15/6</t>
  </si>
  <si>
    <t>13/6</t>
  </si>
  <si>
    <t>12/6</t>
  </si>
  <si>
    <t>11/6</t>
  </si>
  <si>
    <t>17/6</t>
  </si>
  <si>
    <t>14/6</t>
  </si>
  <si>
    <t>16/6</t>
  </si>
  <si>
    <t>22/6</t>
  </si>
  <si>
    <t>20/6</t>
  </si>
  <si>
    <t>19/6</t>
  </si>
  <si>
    <t>18/6</t>
  </si>
  <si>
    <t>24/6</t>
  </si>
  <si>
    <t>21/6</t>
  </si>
  <si>
    <t>23/6</t>
  </si>
  <si>
    <t>29/6</t>
  </si>
  <si>
    <t>27/6</t>
  </si>
  <si>
    <t>26/6</t>
  </si>
  <si>
    <t>25/6</t>
  </si>
  <si>
    <t>1/7</t>
  </si>
  <si>
    <t>28/6</t>
  </si>
  <si>
    <t>30/6</t>
  </si>
  <si>
    <t>6/7</t>
  </si>
  <si>
    <t>4/7</t>
  </si>
  <si>
    <t>3/7</t>
  </si>
  <si>
    <t>2/7</t>
  </si>
  <si>
    <t>8/7</t>
  </si>
  <si>
    <t>5/7</t>
  </si>
  <si>
    <t>7/7</t>
  </si>
  <si>
    <t>13/7</t>
  </si>
  <si>
    <t>11/7</t>
  </si>
  <si>
    <t>10/7</t>
  </si>
  <si>
    <t>9/7</t>
  </si>
  <si>
    <t>15/7</t>
  </si>
  <si>
    <t>12/7</t>
  </si>
  <si>
    <t>14/7</t>
  </si>
  <si>
    <t>20/7</t>
  </si>
  <si>
    <t>18/7</t>
  </si>
  <si>
    <t>17/7</t>
  </si>
  <si>
    <t>16/7</t>
  </si>
  <si>
    <t>22/7</t>
  </si>
  <si>
    <t>19/7</t>
  </si>
  <si>
    <t>21/7</t>
  </si>
  <si>
    <t>27/7</t>
  </si>
  <si>
    <t>25/7</t>
  </si>
  <si>
    <t>24/7</t>
  </si>
  <si>
    <t>23/7</t>
  </si>
  <si>
    <t>29/7</t>
  </si>
  <si>
    <t>26/7</t>
  </si>
  <si>
    <t>28/7</t>
  </si>
  <si>
    <t>3/8</t>
  </si>
  <si>
    <t>1/8</t>
  </si>
  <si>
    <t>31/7</t>
  </si>
  <si>
    <t>30/7</t>
  </si>
  <si>
    <t>5/8</t>
  </si>
  <si>
    <t>2/8</t>
  </si>
  <si>
    <t>4/8</t>
  </si>
  <si>
    <t>10/8</t>
  </si>
  <si>
    <t>8/8</t>
  </si>
  <si>
    <t>7/8</t>
  </si>
  <si>
    <t>6/8</t>
  </si>
  <si>
    <t>12/8</t>
  </si>
  <si>
    <t>9/8</t>
  </si>
  <si>
    <t>11/8</t>
  </si>
  <si>
    <t>17/8</t>
  </si>
  <si>
    <t>15/8</t>
  </si>
  <si>
    <t>14/8</t>
  </si>
  <si>
    <t>13/8</t>
  </si>
  <si>
    <t>19/8</t>
  </si>
  <si>
    <t>16/8</t>
  </si>
  <si>
    <t>18/8</t>
  </si>
  <si>
    <t>24/8</t>
  </si>
  <si>
    <t>22/8</t>
  </si>
  <si>
    <t>21/8</t>
  </si>
  <si>
    <t>20/8</t>
  </si>
  <si>
    <t>26/8</t>
  </si>
  <si>
    <t>23/8</t>
  </si>
  <si>
    <t>25/8</t>
  </si>
  <si>
    <t>31/8</t>
  </si>
  <si>
    <t>29/8</t>
  </si>
  <si>
    <t>28/8</t>
  </si>
  <si>
    <t>27/8</t>
  </si>
  <si>
    <t>2/9</t>
  </si>
  <si>
    <t>30/8</t>
  </si>
  <si>
    <t>1/9</t>
  </si>
  <si>
    <t>7/9</t>
  </si>
  <si>
    <t>5/9</t>
  </si>
  <si>
    <t>4/9</t>
  </si>
  <si>
    <t>3/9</t>
  </si>
  <si>
    <t>9/9</t>
  </si>
  <si>
    <t>6/9</t>
  </si>
  <si>
    <t>8/9</t>
  </si>
  <si>
    <t>14/9</t>
  </si>
  <si>
    <t>12/9</t>
  </si>
  <si>
    <t>11/9</t>
  </si>
  <si>
    <t>10/9</t>
  </si>
  <si>
    <t>16/9</t>
  </si>
  <si>
    <t>13/9</t>
  </si>
  <si>
    <t>15/9</t>
  </si>
  <si>
    <t>21/9</t>
  </si>
  <si>
    <t>19/9</t>
  </si>
  <si>
    <t>18/9</t>
  </si>
  <si>
    <t>17/9</t>
  </si>
  <si>
    <t>23/9</t>
  </si>
  <si>
    <t>20/9</t>
  </si>
  <si>
    <t>22/9</t>
  </si>
  <si>
    <t>28/9</t>
  </si>
  <si>
    <t>26/9</t>
  </si>
  <si>
    <t>25/9</t>
  </si>
  <si>
    <t>24/9</t>
  </si>
  <si>
    <t>30/9</t>
  </si>
  <si>
    <t>27/9</t>
  </si>
  <si>
    <t>5/10</t>
  </si>
  <si>
    <t>30/10</t>
  </si>
  <si>
    <t>2/10</t>
  </si>
  <si>
    <t>1/10</t>
  </si>
  <si>
    <t>7/10</t>
  </si>
  <si>
    <t>4/10</t>
  </si>
  <si>
    <t>3/10</t>
  </si>
  <si>
    <t>12/10</t>
  </si>
  <si>
    <t>10/10</t>
  </si>
  <si>
    <t>9/10</t>
  </si>
  <si>
    <t>8/10</t>
  </si>
  <si>
    <t>14/10</t>
  </si>
  <si>
    <t>11/10</t>
  </si>
  <si>
    <t>19/10</t>
  </si>
  <si>
    <t>17/10</t>
  </si>
  <si>
    <t>16/10</t>
  </si>
  <si>
    <t>15/10</t>
  </si>
  <si>
    <t>21/10</t>
  </si>
  <si>
    <t>18/10</t>
  </si>
  <si>
    <t>26/10</t>
  </si>
  <si>
    <t>24/10</t>
  </si>
  <si>
    <t>23/10</t>
  </si>
  <si>
    <t>22/10</t>
  </si>
  <si>
    <t>28/10</t>
  </si>
  <si>
    <t>25/10</t>
  </si>
  <si>
    <t>2/11</t>
  </si>
  <si>
    <t>31/10</t>
  </si>
  <si>
    <t>29/10</t>
  </si>
  <si>
    <t>4/11</t>
  </si>
  <si>
    <t>1/11</t>
  </si>
  <si>
    <t>9/11</t>
  </si>
  <si>
    <t>7/11</t>
  </si>
  <si>
    <t>6/11</t>
  </si>
  <si>
    <t>5/11</t>
  </si>
  <si>
    <t>11/11</t>
  </si>
  <si>
    <t>8/11</t>
  </si>
  <si>
    <t>16/11</t>
  </si>
  <si>
    <t>14/11</t>
  </si>
  <si>
    <t>13/11</t>
  </si>
  <si>
    <t>12/11</t>
  </si>
  <si>
    <t>18/11</t>
  </si>
  <si>
    <t>15/11</t>
  </si>
  <si>
    <t>23/11</t>
  </si>
  <si>
    <t>21/11</t>
  </si>
  <si>
    <t>20/11</t>
  </si>
  <si>
    <t>19/11</t>
  </si>
  <si>
    <t>25/11</t>
  </si>
  <si>
    <t>22/11</t>
  </si>
  <si>
    <t>30/11</t>
  </si>
  <si>
    <t>28/11</t>
  </si>
  <si>
    <t>27/11</t>
  </si>
  <si>
    <t>26/11</t>
  </si>
  <si>
    <t>2/12</t>
  </si>
  <si>
    <t>29/11</t>
  </si>
  <si>
    <t>7/12</t>
  </si>
  <si>
    <t>5/12</t>
  </si>
  <si>
    <t>4/12</t>
  </si>
  <si>
    <t>3/12</t>
  </si>
  <si>
    <t>9/12</t>
  </si>
  <si>
    <t>6/12</t>
  </si>
  <si>
    <t>14/12</t>
  </si>
  <si>
    <t>12/12</t>
  </si>
  <si>
    <t>11/12</t>
  </si>
  <si>
    <t>10/12</t>
  </si>
  <si>
    <t>16/12</t>
  </si>
  <si>
    <t>13/12</t>
  </si>
  <si>
    <t>21/12</t>
  </si>
  <si>
    <t>19/12</t>
  </si>
  <si>
    <t>18/12</t>
  </si>
  <si>
    <t>17/12</t>
  </si>
  <si>
    <t>23/12</t>
  </si>
  <si>
    <t>20/12</t>
  </si>
  <si>
    <t>28/12</t>
  </si>
  <si>
    <t>26/12</t>
  </si>
  <si>
    <t>25/12</t>
  </si>
  <si>
    <t>24/12</t>
  </si>
  <si>
    <t>30/12</t>
  </si>
  <si>
    <t>27/12</t>
  </si>
  <si>
    <t>31/12</t>
  </si>
  <si>
    <t>MOY.</t>
  </si>
  <si>
    <t>NATIONAL WEEK 1993</t>
  </si>
  <si>
    <t>M1</t>
  </si>
  <si>
    <t>M2</t>
  </si>
  <si>
    <t>M3</t>
  </si>
  <si>
    <t>M4</t>
  </si>
  <si>
    <t>M5</t>
  </si>
  <si>
    <t>10/3</t>
  </si>
  <si>
    <t>17/3</t>
  </si>
  <si>
    <t>NATIONAL WEEK — GHANA</t>
  </si>
  <si>
    <t>Tirage hebdomadaire (samedi) — 5 numéros gagnants + 5 numéros machine — TOT = somme des 5 gagnants — Trio 42·24·57 surligné en violet</t>
  </si>
  <si>
    <t>NATIONAL WEEK 2001</t>
  </si>
  <si>
    <t>NATIONAL WEEK 1997</t>
  </si>
  <si>
    <t>NATIONAL WEEK 1982</t>
  </si>
  <si>
    <t>NATIONAL WEEK 1980</t>
  </si>
  <si>
    <t>NATIONAL WEEK 1974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</si>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</sst>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3"/>
      <color rgb="FFF6C344"/>
      <name val="Arial"/>
      <family val="2"/>
    </font>
    <font>
      <b/>
      <sz val="10"/>
      <color rgb="FFFFFFFF"/>
      <name val="Arial"/>
      <family val="2"/>
    </font>
    <font>
      <sz val="9"/>
      <color rgb="FF5A6B7B"/>
      <name val="Arial"/>
      <family val="2"/>
    </font>
    <font>
      <b/>
      <sz val="10"/>
      <color rgb="FF1F2D3D"/>
      <name val="Arial"/>
      <family val="2"/>
    </font>
    <font>
      <b/>
      <sz val="10"/>
      <color rgb="FF8B5A00"/>
      <name val="Arial"/>
      <family val="2"/>
    </font>
    <font>
      <b/>
      <sz val="10"/>
      <color rgb="FF6A1B9A"/>
      <name val="Arial"/>
      <family val="2"/>
    </font>
    <font>
      <sz val="10"/>
      <color rgb="FF5A6B7B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4FC3F7"/>
      </patternFill>
    </fill>
    <fill>
      <patternFill patternType="solid">
        <fgColor rgb="FFAED581"/>
      </patternFill>
    </fill>
    <fill>
      <patternFill patternType="solid">
        <fgColor rgb="FFFFB74D"/>
      </patternFill>
    </fill>
    <fill>
      <patternFill patternType="solid">
        <fgColor rgb="FFBA68C8"/>
      </patternFill>
    </fill>
    <fill>
      <patternFill patternType="solid">
        <fgColor rgb="FFE0E0E0"/>
      </patternFill>
    </fill>
    <fill>
      <patternFill patternType="solid">
        <fgColor rgb="FFFFF9C4"/>
      </patternFill>
    </fill>
    <fill>
      <patternFill patternType="solid">
        <fgColor rgb="FF1976D2"/>
      </patternFill>
    </fill>
    <fill>
      <patternFill patternType="solid">
        <fgColor rgb="FF424242"/>
      </patternFill>
    </fill>
    <fill>
      <patternFill patternType="solid">
        <fgColor rgb="FFFFF176"/>
      </patternFill>
    </fill>
    <fill>
      <patternFill patternType="solid">
        <fgColor rgb="FFEF5350"/>
      </patternFill>
    </fill>
    <fill>
      <patternFill patternType="solid">
        <fgColor rgb="FFC5E1A5"/>
      </patternFill>
    </fill>
    <fill>
      <patternFill patternType="solid">
        <fgColor rgb="FF43A047"/>
      </patternFill>
    </fill>
    <fill>
      <patternFill patternType="solid">
        <fgColor rgb="FFE53935"/>
      </patternFill>
    </fill>
    <fill>
      <patternFill patternType="solid">
        <fgColor rgb="FF1A6BAA"/>
      </patternFill>
    </fill>
    <fill>
      <patternFill patternType="solid">
        <fgColor rgb="FFD6E4F0"/>
      </patternFill>
    </fill>
    <fill>
      <patternFill patternType="solid">
        <fgColor rgb="FF1A3A5C"/>
      </patternFill>
    </fill>
    <fill>
      <patternFill patternType="solid">
        <fgColor rgb="FFEAF4FB"/>
      </patternFill>
    </fill>
    <fill>
      <patternFill patternType="solid">
        <fgColor rgb="FFB8CCE4"/>
      </patternFill>
    </fill>
    <fill>
      <patternFill patternType="solid">
        <fgColor rgb="FF1F2D3D"/>
        <bgColor rgb="FF003366"/>
      </patternFill>
    </fill>
    <fill>
      <patternFill patternType="solid">
        <fgColor rgb="FFFCE4A6"/>
        <bgColor rgb="FFFFFF99"/>
      </patternFill>
    </fill>
    <fill>
      <patternFill patternType="solid">
        <fgColor rgb="FFE1BEE7"/>
        <bgColor rgb="FFC9D4E0"/>
      </patternFill>
    </fill>
    <fill>
      <patternFill patternType="solid">
        <fgColor rgb="FFEAF1F8"/>
        <bgColor rgb="FFFFFFFF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0" fillId="0" borderId="0" xfId="0"/>
    <xf numFmtId="0" fontId="5" fillId="8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6" fillId="15" borderId="4" xfId="0" applyFont="1" applyFill="1" applyBorder="1" applyAlignment="1">
      <alignment horizontal="center" vertical="center"/>
    </xf>
    <xf numFmtId="0" fontId="0" fillId="15" borderId="4" xfId="0" applyFill="1" applyBorder="1"/>
    <xf numFmtId="0" fontId="6" fillId="15" borderId="4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 vertical="center"/>
    </xf>
    <xf numFmtId="0" fontId="7" fillId="19" borderId="4" xfId="0" applyFont="1" applyFill="1" applyBorder="1" applyAlignment="1">
      <alignment horizontal="center" vertical="center"/>
    </xf>
    <xf numFmtId="0" fontId="0" fillId="19" borderId="4" xfId="0" applyFill="1" applyBorder="1"/>
    <xf numFmtId="164" fontId="7" fillId="19" borderId="4" xfId="0" applyNumberFormat="1" applyFont="1" applyFill="1" applyBorder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9" fillId="20" borderId="0" xfId="0" applyFont="1" applyFill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11" fillId="20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21" borderId="5" xfId="0" applyFont="1" applyFill="1" applyBorder="1" applyAlignment="1">
      <alignment horizontal="center" vertical="center"/>
    </xf>
    <xf numFmtId="0" fontId="15" fillId="22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2" fillId="23" borderId="5" xfId="0" applyFont="1" applyFill="1" applyBorder="1" applyAlignment="1">
      <alignment horizontal="center" vertical="center"/>
    </xf>
    <xf numFmtId="0" fontId="13" fillId="23" borderId="5" xfId="0" applyFont="1" applyFill="1" applyBorder="1" applyAlignment="1">
      <alignment horizontal="center" vertical="center"/>
    </xf>
    <xf numFmtId="0" fontId="16" fillId="2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"/>
  <sheetViews>
    <sheetView workbookViewId="0">
      <pane xSplit="9" ySplit="2" topLeftCell="P3" activePane="bottomRight" state="frozen"/>
      <selection pane="topRight"/>
      <selection pane="bottomLeft"/>
      <selection pane="bottomRight" activeCell="BH22" sqref="BH22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6" customWidth="1"/>
    <col min="8" max="8" width="9" customWidth="1"/>
    <col min="9" max="9" width="2" customWidth="1"/>
    <col min="10" max="10" width="11" customWidth="1"/>
    <col min="11" max="11" width="12" customWidth="1"/>
    <col min="12" max="16" width="6" customWidth="1"/>
    <col min="17" max="17" width="9" customWidth="1"/>
    <col min="18" max="18" width="2" customWidth="1"/>
    <col min="19" max="19" width="11" customWidth="1"/>
    <col min="20" max="20" width="12" customWidth="1"/>
    <col min="21" max="25" width="6" customWidth="1"/>
    <col min="26" max="26" width="9" customWidth="1"/>
    <col min="27" max="27" width="2" customWidth="1"/>
    <col min="28" max="28" width="11" customWidth="1"/>
    <col min="29" max="29" width="12" customWidth="1"/>
    <col min="30" max="34" width="6" customWidth="1"/>
    <col min="35" max="35" width="9" customWidth="1"/>
    <col min="36" max="36" width="2" customWidth="1"/>
  </cols>
  <sheetData>
    <row r="1" spans="1:35" ht="28" customHeight="1" x14ac:dyDescent="0.2">
      <c r="A1" s="23" t="s">
        <v>0</v>
      </c>
      <c r="B1" s="16"/>
      <c r="C1" s="16"/>
      <c r="D1" s="16"/>
      <c r="E1" s="16"/>
      <c r="F1" s="16"/>
      <c r="G1" s="16"/>
      <c r="H1" s="16"/>
      <c r="J1" s="20" t="s">
        <v>1</v>
      </c>
      <c r="K1" s="16"/>
      <c r="L1" s="16"/>
      <c r="M1" s="16"/>
      <c r="N1" s="16"/>
      <c r="O1" s="16"/>
      <c r="P1" s="16"/>
      <c r="Q1" s="16"/>
      <c r="S1" s="21" t="s">
        <v>2</v>
      </c>
      <c r="T1" s="16"/>
      <c r="U1" s="16"/>
      <c r="V1" s="16"/>
      <c r="W1" s="16"/>
      <c r="X1" s="16"/>
      <c r="Y1" s="16"/>
      <c r="Z1" s="16"/>
      <c r="AB1" s="22" t="s">
        <v>3</v>
      </c>
      <c r="AC1" s="16"/>
      <c r="AD1" s="16"/>
      <c r="AE1" s="16"/>
      <c r="AF1" s="16"/>
      <c r="AG1" s="16"/>
      <c r="AH1" s="16"/>
      <c r="AI1" s="16"/>
    </row>
    <row r="2" spans="1:35" ht="20" customHeight="1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B2" s="1" t="s">
        <v>4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</row>
    <row r="3" spans="1:35" x14ac:dyDescent="0.2">
      <c r="A3" s="2" t="s">
        <v>12</v>
      </c>
      <c r="B3" s="2" t="s">
        <v>13</v>
      </c>
      <c r="C3" s="3">
        <v>42</v>
      </c>
      <c r="D3" s="3">
        <v>7</v>
      </c>
      <c r="E3" s="3">
        <v>79</v>
      </c>
      <c r="F3" s="3">
        <v>24</v>
      </c>
      <c r="G3" s="3">
        <v>57</v>
      </c>
      <c r="H3" s="4">
        <f t="shared" ref="H3:H29" si="0">SUM(C3:G3)</f>
        <v>209</v>
      </c>
      <c r="J3" s="2" t="s">
        <v>14</v>
      </c>
      <c r="K3" s="2" t="s">
        <v>15</v>
      </c>
      <c r="L3" s="3">
        <v>49</v>
      </c>
      <c r="M3" s="3">
        <v>37</v>
      </c>
      <c r="N3" s="3">
        <v>83</v>
      </c>
      <c r="O3" s="3">
        <v>80</v>
      </c>
      <c r="P3" s="3">
        <v>34</v>
      </c>
      <c r="Q3" s="4">
        <f t="shared" ref="Q3:Q34" si="1">SUM(L3:P3)</f>
        <v>283</v>
      </c>
      <c r="S3" s="2" t="s">
        <v>16</v>
      </c>
      <c r="T3" s="2" t="s">
        <v>17</v>
      </c>
      <c r="U3" s="3">
        <v>46</v>
      </c>
      <c r="V3" s="3">
        <v>34</v>
      </c>
      <c r="W3" s="3">
        <v>50</v>
      </c>
      <c r="X3" s="3">
        <v>40</v>
      </c>
      <c r="Y3" s="3">
        <v>51</v>
      </c>
      <c r="Z3" s="4">
        <f t="shared" ref="Z3:Z34" si="2">SUM(U3:Y3)</f>
        <v>221</v>
      </c>
      <c r="AB3" s="2" t="s">
        <v>18</v>
      </c>
      <c r="AC3" s="2" t="s">
        <v>19</v>
      </c>
      <c r="AD3" s="3">
        <v>67</v>
      </c>
      <c r="AE3" s="3">
        <v>6</v>
      </c>
      <c r="AF3" s="3">
        <v>90</v>
      </c>
      <c r="AG3" s="3">
        <v>72</v>
      </c>
      <c r="AH3" s="3">
        <v>47</v>
      </c>
      <c r="AI3" s="4">
        <f t="shared" ref="AI3:AI29" si="3">SUM(AD3:AH3)</f>
        <v>282</v>
      </c>
    </row>
    <row r="4" spans="1:35" x14ac:dyDescent="0.2">
      <c r="A4" s="2" t="s">
        <v>20</v>
      </c>
      <c r="B4" s="2" t="s">
        <v>21</v>
      </c>
      <c r="C4" s="3">
        <v>17</v>
      </c>
      <c r="D4" s="3">
        <v>75</v>
      </c>
      <c r="E4" s="3">
        <v>11</v>
      </c>
      <c r="F4" s="3">
        <v>82</v>
      </c>
      <c r="G4" s="3">
        <v>23</v>
      </c>
      <c r="H4" s="4">
        <f t="shared" si="0"/>
        <v>208</v>
      </c>
      <c r="J4" s="2" t="s">
        <v>22</v>
      </c>
      <c r="K4" s="2" t="s">
        <v>23</v>
      </c>
      <c r="L4" s="3">
        <v>31</v>
      </c>
      <c r="M4" s="3">
        <v>32</v>
      </c>
      <c r="N4" s="3">
        <v>71</v>
      </c>
      <c r="O4" s="3">
        <v>75</v>
      </c>
      <c r="P4" s="3">
        <v>90</v>
      </c>
      <c r="Q4" s="4">
        <f t="shared" si="1"/>
        <v>299</v>
      </c>
      <c r="S4" s="2" t="s">
        <v>24</v>
      </c>
      <c r="T4" s="2" t="s">
        <v>25</v>
      </c>
      <c r="U4" s="3">
        <v>86</v>
      </c>
      <c r="V4" s="3">
        <v>45</v>
      </c>
      <c r="W4" s="3">
        <v>35</v>
      </c>
      <c r="X4" s="3">
        <v>22</v>
      </c>
      <c r="Y4" s="3">
        <v>26</v>
      </c>
      <c r="Z4" s="4">
        <f t="shared" si="2"/>
        <v>214</v>
      </c>
      <c r="AB4" s="2" t="s">
        <v>26</v>
      </c>
      <c r="AC4" s="2" t="s">
        <v>27</v>
      </c>
      <c r="AD4" s="3">
        <v>82</v>
      </c>
      <c r="AE4" s="3">
        <v>55</v>
      </c>
      <c r="AF4" s="3">
        <v>31</v>
      </c>
      <c r="AG4" s="3">
        <v>34</v>
      </c>
      <c r="AH4" s="3">
        <v>86</v>
      </c>
      <c r="AI4" s="4">
        <f t="shared" si="3"/>
        <v>288</v>
      </c>
    </row>
    <row r="5" spans="1:35" x14ac:dyDescent="0.2">
      <c r="A5" s="2" t="s">
        <v>28</v>
      </c>
      <c r="B5" s="2" t="s">
        <v>29</v>
      </c>
      <c r="C5" s="3">
        <v>13</v>
      </c>
      <c r="D5" s="3">
        <v>76</v>
      </c>
      <c r="E5" s="3">
        <v>53</v>
      </c>
      <c r="F5" s="3">
        <v>57</v>
      </c>
      <c r="G5" s="3">
        <v>68</v>
      </c>
      <c r="H5" s="4">
        <f t="shared" si="0"/>
        <v>267</v>
      </c>
      <c r="J5" s="2" t="s">
        <v>30</v>
      </c>
      <c r="K5" s="2" t="s">
        <v>31</v>
      </c>
      <c r="L5" s="3">
        <v>12</v>
      </c>
      <c r="M5" s="3">
        <v>27</v>
      </c>
      <c r="N5" s="3">
        <v>48</v>
      </c>
      <c r="O5" s="3">
        <v>35</v>
      </c>
      <c r="P5" s="3">
        <v>9</v>
      </c>
      <c r="Q5" s="4">
        <f t="shared" si="1"/>
        <v>131</v>
      </c>
      <c r="S5" s="2" t="s">
        <v>32</v>
      </c>
      <c r="T5" s="2" t="s">
        <v>33</v>
      </c>
      <c r="U5" s="3">
        <v>79</v>
      </c>
      <c r="V5" s="3">
        <v>82</v>
      </c>
      <c r="W5" s="3">
        <v>6</v>
      </c>
      <c r="X5" s="3">
        <v>68</v>
      </c>
      <c r="Y5" s="3">
        <v>64</v>
      </c>
      <c r="Z5" s="4">
        <f t="shared" si="2"/>
        <v>299</v>
      </c>
      <c r="AB5" s="2" t="s">
        <v>34</v>
      </c>
      <c r="AC5" s="2" t="s">
        <v>35</v>
      </c>
      <c r="AD5" s="3">
        <v>28</v>
      </c>
      <c r="AE5" s="3">
        <v>37</v>
      </c>
      <c r="AF5" s="3">
        <v>58</v>
      </c>
      <c r="AG5" s="3">
        <v>64</v>
      </c>
      <c r="AH5" s="3">
        <v>52</v>
      </c>
      <c r="AI5" s="4">
        <f t="shared" si="3"/>
        <v>239</v>
      </c>
    </row>
    <row r="6" spans="1:35" x14ac:dyDescent="0.2">
      <c r="A6" s="2" t="s">
        <v>36</v>
      </c>
      <c r="B6" s="2" t="s">
        <v>37</v>
      </c>
      <c r="C6" s="3">
        <v>18</v>
      </c>
      <c r="D6" s="3">
        <v>26</v>
      </c>
      <c r="E6" s="3">
        <v>68</v>
      </c>
      <c r="F6" s="3">
        <v>54</v>
      </c>
      <c r="G6" s="3">
        <v>64</v>
      </c>
      <c r="H6" s="4">
        <f t="shared" si="0"/>
        <v>230</v>
      </c>
      <c r="J6" s="2" t="s">
        <v>38</v>
      </c>
      <c r="K6" s="2" t="s">
        <v>39</v>
      </c>
      <c r="L6" s="3">
        <v>16</v>
      </c>
      <c r="M6" s="3">
        <v>54</v>
      </c>
      <c r="N6" s="3">
        <v>37</v>
      </c>
      <c r="O6" s="3">
        <v>1</v>
      </c>
      <c r="P6" s="3">
        <v>32</v>
      </c>
      <c r="Q6" s="4">
        <f t="shared" si="1"/>
        <v>140</v>
      </c>
      <c r="S6" s="2" t="s">
        <v>40</v>
      </c>
      <c r="T6" s="2" t="s">
        <v>41</v>
      </c>
      <c r="U6" s="3">
        <v>26</v>
      </c>
      <c r="V6" s="3">
        <v>12</v>
      </c>
      <c r="W6" s="3">
        <v>49</v>
      </c>
      <c r="X6" s="3">
        <v>55</v>
      </c>
      <c r="Y6" s="3">
        <v>42</v>
      </c>
      <c r="Z6" s="4">
        <f t="shared" si="2"/>
        <v>184</v>
      </c>
      <c r="AB6" s="2" t="s">
        <v>42</v>
      </c>
      <c r="AC6" s="2" t="s">
        <v>43</v>
      </c>
      <c r="AD6" s="3">
        <v>31</v>
      </c>
      <c r="AE6" s="3">
        <v>52</v>
      </c>
      <c r="AF6" s="3">
        <v>77</v>
      </c>
      <c r="AG6" s="3">
        <v>13</v>
      </c>
      <c r="AH6" s="3">
        <v>33</v>
      </c>
      <c r="AI6" s="4">
        <f t="shared" si="3"/>
        <v>206</v>
      </c>
    </row>
    <row r="7" spans="1:35" x14ac:dyDescent="0.2">
      <c r="A7" s="2" t="s">
        <v>44</v>
      </c>
      <c r="B7" s="2" t="s">
        <v>45</v>
      </c>
      <c r="C7" s="3">
        <v>49</v>
      </c>
      <c r="D7" s="3">
        <v>77</v>
      </c>
      <c r="E7" s="3">
        <v>41</v>
      </c>
      <c r="F7" s="3">
        <v>5</v>
      </c>
      <c r="G7" s="3">
        <v>70</v>
      </c>
      <c r="H7" s="4">
        <f t="shared" si="0"/>
        <v>242</v>
      </c>
      <c r="J7" s="2" t="s">
        <v>46</v>
      </c>
      <c r="K7" s="2" t="s">
        <v>47</v>
      </c>
      <c r="L7" s="3">
        <v>64</v>
      </c>
      <c r="M7" s="3">
        <v>71</v>
      </c>
      <c r="N7" s="3">
        <v>29</v>
      </c>
      <c r="O7" s="3">
        <v>18</v>
      </c>
      <c r="P7" s="3">
        <v>34</v>
      </c>
      <c r="Q7" s="4">
        <f t="shared" si="1"/>
        <v>216</v>
      </c>
      <c r="S7" s="2" t="s">
        <v>48</v>
      </c>
      <c r="T7" s="2" t="s">
        <v>49</v>
      </c>
      <c r="U7" s="3">
        <v>2</v>
      </c>
      <c r="V7" s="3">
        <v>85</v>
      </c>
      <c r="W7" s="3">
        <v>82</v>
      </c>
      <c r="X7" s="3">
        <v>42</v>
      </c>
      <c r="Y7" s="3">
        <v>55</v>
      </c>
      <c r="Z7" s="4">
        <f t="shared" si="2"/>
        <v>266</v>
      </c>
      <c r="AB7" s="2" t="s">
        <v>50</v>
      </c>
      <c r="AC7" s="2" t="s">
        <v>51</v>
      </c>
      <c r="AD7" s="3">
        <v>33</v>
      </c>
      <c r="AE7" s="3">
        <v>4</v>
      </c>
      <c r="AF7" s="3">
        <v>12</v>
      </c>
      <c r="AG7" s="3">
        <v>22</v>
      </c>
      <c r="AH7" s="3">
        <v>58</v>
      </c>
      <c r="AI7" s="4">
        <f t="shared" si="3"/>
        <v>129</v>
      </c>
    </row>
    <row r="8" spans="1:35" x14ac:dyDescent="0.2">
      <c r="A8" s="2" t="s">
        <v>52</v>
      </c>
      <c r="B8" s="2" t="s">
        <v>53</v>
      </c>
      <c r="C8" s="3">
        <v>45</v>
      </c>
      <c r="D8" s="3">
        <v>16</v>
      </c>
      <c r="E8" s="3">
        <v>9</v>
      </c>
      <c r="F8" s="3">
        <v>11</v>
      </c>
      <c r="G8" s="3">
        <v>15</v>
      </c>
      <c r="H8" s="4">
        <f t="shared" si="0"/>
        <v>96</v>
      </c>
      <c r="J8" s="2" t="s">
        <v>54</v>
      </c>
      <c r="K8" s="2" t="s">
        <v>55</v>
      </c>
      <c r="L8" s="3">
        <v>51</v>
      </c>
      <c r="M8" s="3">
        <v>30</v>
      </c>
      <c r="N8" s="3">
        <v>44</v>
      </c>
      <c r="O8" s="3">
        <v>47</v>
      </c>
      <c r="P8" s="3">
        <v>19</v>
      </c>
      <c r="Q8" s="4">
        <f t="shared" si="1"/>
        <v>191</v>
      </c>
      <c r="S8" s="2" t="s">
        <v>56</v>
      </c>
      <c r="T8" s="2" t="s">
        <v>57</v>
      </c>
      <c r="U8" s="3">
        <v>3</v>
      </c>
      <c r="V8" s="3">
        <v>47</v>
      </c>
      <c r="W8" s="3">
        <v>2</v>
      </c>
      <c r="X8" s="3">
        <v>43</v>
      </c>
      <c r="Y8" s="3">
        <v>46</v>
      </c>
      <c r="Z8" s="4">
        <f t="shared" si="2"/>
        <v>141</v>
      </c>
      <c r="AB8" s="2" t="s">
        <v>58</v>
      </c>
      <c r="AC8" s="2" t="s">
        <v>59</v>
      </c>
      <c r="AD8" s="3">
        <v>63</v>
      </c>
      <c r="AE8" s="3">
        <v>1</v>
      </c>
      <c r="AF8" s="3">
        <v>35</v>
      </c>
      <c r="AG8" s="3">
        <v>86</v>
      </c>
      <c r="AH8" s="3">
        <v>55</v>
      </c>
      <c r="AI8" s="4">
        <f t="shared" si="3"/>
        <v>240</v>
      </c>
    </row>
    <row r="9" spans="1:35" x14ac:dyDescent="0.2">
      <c r="A9" s="2" t="s">
        <v>60</v>
      </c>
      <c r="B9" s="2" t="s">
        <v>61</v>
      </c>
      <c r="C9" s="3">
        <v>30</v>
      </c>
      <c r="D9" s="3">
        <v>39</v>
      </c>
      <c r="E9" s="3">
        <v>43</v>
      </c>
      <c r="F9" s="3">
        <v>86</v>
      </c>
      <c r="G9" s="3">
        <v>15</v>
      </c>
      <c r="H9" s="4">
        <f t="shared" si="0"/>
        <v>213</v>
      </c>
      <c r="J9" s="2" t="s">
        <v>62</v>
      </c>
      <c r="K9" s="2" t="s">
        <v>63</v>
      </c>
      <c r="L9" s="3">
        <v>77</v>
      </c>
      <c r="M9" s="3">
        <v>11</v>
      </c>
      <c r="N9" s="3">
        <v>47</v>
      </c>
      <c r="O9" s="3">
        <v>67</v>
      </c>
      <c r="P9" s="3">
        <v>23</v>
      </c>
      <c r="Q9" s="4">
        <f t="shared" si="1"/>
        <v>225</v>
      </c>
      <c r="S9" s="2" t="s">
        <v>64</v>
      </c>
      <c r="T9" s="2" t="s">
        <v>65</v>
      </c>
      <c r="U9" s="3">
        <v>40</v>
      </c>
      <c r="V9" s="3">
        <v>23</v>
      </c>
      <c r="W9" s="3">
        <v>41</v>
      </c>
      <c r="X9" s="3">
        <v>81</v>
      </c>
      <c r="Y9" s="3">
        <v>39</v>
      </c>
      <c r="Z9" s="4">
        <f t="shared" si="2"/>
        <v>224</v>
      </c>
      <c r="AB9" s="2" t="s">
        <v>66</v>
      </c>
      <c r="AC9" s="2" t="s">
        <v>67</v>
      </c>
      <c r="AD9" s="3">
        <v>2</v>
      </c>
      <c r="AE9" s="3">
        <v>76</v>
      </c>
      <c r="AF9" s="3">
        <v>9</v>
      </c>
      <c r="AG9" s="3">
        <v>22</v>
      </c>
      <c r="AH9" s="3">
        <v>48</v>
      </c>
      <c r="AI9" s="4">
        <f t="shared" si="3"/>
        <v>157</v>
      </c>
    </row>
    <row r="10" spans="1:35" x14ac:dyDescent="0.2">
      <c r="A10" s="2" t="s">
        <v>68</v>
      </c>
      <c r="B10" s="2" t="s">
        <v>69</v>
      </c>
      <c r="C10" s="3">
        <v>10</v>
      </c>
      <c r="D10" s="3">
        <v>72</v>
      </c>
      <c r="E10" s="3">
        <v>5</v>
      </c>
      <c r="F10" s="3">
        <v>54</v>
      </c>
      <c r="G10" s="3">
        <v>38</v>
      </c>
      <c r="H10" s="4">
        <f t="shared" si="0"/>
        <v>179</v>
      </c>
      <c r="J10" s="2" t="s">
        <v>70</v>
      </c>
      <c r="K10" s="2" t="s">
        <v>71</v>
      </c>
      <c r="L10" s="3">
        <v>55</v>
      </c>
      <c r="M10" s="3">
        <v>34</v>
      </c>
      <c r="N10" s="3">
        <v>39</v>
      </c>
      <c r="O10" s="3">
        <v>23</v>
      </c>
      <c r="P10" s="3">
        <v>17</v>
      </c>
      <c r="Q10" s="4">
        <f t="shared" si="1"/>
        <v>168</v>
      </c>
      <c r="S10" s="2" t="s">
        <v>72</v>
      </c>
      <c r="T10" s="2" t="s">
        <v>73</v>
      </c>
      <c r="U10" s="3">
        <v>70</v>
      </c>
      <c r="V10" s="3">
        <v>51</v>
      </c>
      <c r="W10" s="3">
        <v>32</v>
      </c>
      <c r="X10" s="3">
        <v>53</v>
      </c>
      <c r="Y10" s="3">
        <v>9</v>
      </c>
      <c r="Z10" s="4">
        <f t="shared" si="2"/>
        <v>215</v>
      </c>
      <c r="AB10" s="2" t="s">
        <v>74</v>
      </c>
      <c r="AC10" s="2" t="s">
        <v>75</v>
      </c>
      <c r="AD10" s="3">
        <v>27</v>
      </c>
      <c r="AE10" s="3">
        <v>89</v>
      </c>
      <c r="AF10" s="3">
        <v>59</v>
      </c>
      <c r="AG10" s="3">
        <v>49</v>
      </c>
      <c r="AH10" s="3">
        <v>46</v>
      </c>
      <c r="AI10" s="4">
        <f t="shared" si="3"/>
        <v>270</v>
      </c>
    </row>
    <row r="11" spans="1:35" x14ac:dyDescent="0.2">
      <c r="A11" s="2" t="s">
        <v>76</v>
      </c>
      <c r="B11" s="2" t="s">
        <v>77</v>
      </c>
      <c r="C11" s="3">
        <v>67</v>
      </c>
      <c r="D11" s="3">
        <v>76</v>
      </c>
      <c r="E11" s="3">
        <v>47</v>
      </c>
      <c r="F11" s="3">
        <v>60</v>
      </c>
      <c r="G11" s="3">
        <v>18</v>
      </c>
      <c r="H11" s="4">
        <f t="shared" si="0"/>
        <v>268</v>
      </c>
      <c r="J11" s="2" t="s">
        <v>78</v>
      </c>
      <c r="K11" s="2" t="s">
        <v>79</v>
      </c>
      <c r="L11" s="3">
        <v>1</v>
      </c>
      <c r="M11" s="3">
        <v>76</v>
      </c>
      <c r="N11" s="3">
        <v>25</v>
      </c>
      <c r="O11" s="3">
        <v>69</v>
      </c>
      <c r="P11" s="3">
        <v>68</v>
      </c>
      <c r="Q11" s="4">
        <f t="shared" si="1"/>
        <v>239</v>
      </c>
      <c r="S11" s="2" t="s">
        <v>80</v>
      </c>
      <c r="T11" s="2" t="s">
        <v>81</v>
      </c>
      <c r="U11" s="3">
        <v>22</v>
      </c>
      <c r="V11" s="3">
        <v>24</v>
      </c>
      <c r="W11" s="3">
        <v>37</v>
      </c>
      <c r="X11" s="3">
        <v>36</v>
      </c>
      <c r="Y11" s="3">
        <v>33</v>
      </c>
      <c r="Z11" s="4">
        <f t="shared" si="2"/>
        <v>152</v>
      </c>
      <c r="AB11" s="2" t="s">
        <v>82</v>
      </c>
      <c r="AC11" s="2" t="s">
        <v>83</v>
      </c>
      <c r="AD11" s="3">
        <v>15</v>
      </c>
      <c r="AE11" s="3">
        <v>87</v>
      </c>
      <c r="AF11" s="3">
        <v>23</v>
      </c>
      <c r="AG11" s="3">
        <v>14</v>
      </c>
      <c r="AH11" s="3">
        <v>74</v>
      </c>
      <c r="AI11" s="4">
        <f t="shared" si="3"/>
        <v>213</v>
      </c>
    </row>
    <row r="12" spans="1:35" x14ac:dyDescent="0.2">
      <c r="A12" s="2" t="s">
        <v>84</v>
      </c>
      <c r="B12" s="2" t="s">
        <v>85</v>
      </c>
      <c r="C12" s="3">
        <v>70</v>
      </c>
      <c r="D12" s="3">
        <v>24</v>
      </c>
      <c r="E12" s="3">
        <v>8</v>
      </c>
      <c r="F12" s="3">
        <v>43</v>
      </c>
      <c r="G12" s="3">
        <v>28</v>
      </c>
      <c r="H12" s="4">
        <f t="shared" si="0"/>
        <v>173</v>
      </c>
      <c r="J12" s="2" t="s">
        <v>86</v>
      </c>
      <c r="K12" s="2" t="s">
        <v>87</v>
      </c>
      <c r="L12" s="3">
        <v>72</v>
      </c>
      <c r="M12" s="3">
        <v>30</v>
      </c>
      <c r="N12" s="3">
        <v>13</v>
      </c>
      <c r="O12" s="3">
        <v>56</v>
      </c>
      <c r="P12" s="3">
        <v>33</v>
      </c>
      <c r="Q12" s="4">
        <f t="shared" si="1"/>
        <v>204</v>
      </c>
      <c r="S12" s="2" t="s">
        <v>88</v>
      </c>
      <c r="T12" s="2" t="s">
        <v>89</v>
      </c>
      <c r="U12" s="3">
        <v>87</v>
      </c>
      <c r="V12" s="3">
        <v>35</v>
      </c>
      <c r="W12" s="3">
        <v>29</v>
      </c>
      <c r="X12" s="3">
        <v>21</v>
      </c>
      <c r="Y12" s="3">
        <v>13</v>
      </c>
      <c r="Z12" s="4">
        <f t="shared" si="2"/>
        <v>185</v>
      </c>
      <c r="AB12" s="2" t="s">
        <v>90</v>
      </c>
      <c r="AC12" s="2" t="s">
        <v>91</v>
      </c>
      <c r="AD12" s="3">
        <v>7</v>
      </c>
      <c r="AE12" s="3">
        <v>69</v>
      </c>
      <c r="AF12" s="3">
        <v>20</v>
      </c>
      <c r="AG12" s="3">
        <v>25</v>
      </c>
      <c r="AH12" s="3">
        <v>66</v>
      </c>
      <c r="AI12" s="4">
        <f t="shared" si="3"/>
        <v>187</v>
      </c>
    </row>
    <row r="13" spans="1:35" x14ac:dyDescent="0.2">
      <c r="A13" s="2" t="s">
        <v>92</v>
      </c>
      <c r="B13" s="2" t="s">
        <v>93</v>
      </c>
      <c r="C13" s="3">
        <v>32</v>
      </c>
      <c r="D13" s="3">
        <v>31</v>
      </c>
      <c r="E13" s="3">
        <v>55</v>
      </c>
      <c r="F13" s="3">
        <v>83</v>
      </c>
      <c r="G13" s="3">
        <v>45</v>
      </c>
      <c r="H13" s="4">
        <f t="shared" si="0"/>
        <v>246</v>
      </c>
      <c r="J13" s="2" t="s">
        <v>94</v>
      </c>
      <c r="K13" s="2" t="s">
        <v>95</v>
      </c>
      <c r="L13" s="3">
        <v>78</v>
      </c>
      <c r="M13" s="3">
        <v>35</v>
      </c>
      <c r="N13" s="3">
        <v>12</v>
      </c>
      <c r="O13" s="3">
        <v>80</v>
      </c>
      <c r="P13" s="3">
        <v>77</v>
      </c>
      <c r="Q13" s="4">
        <f t="shared" si="1"/>
        <v>282</v>
      </c>
      <c r="S13" s="2" t="s">
        <v>96</v>
      </c>
      <c r="T13" s="2" t="s">
        <v>97</v>
      </c>
      <c r="U13" s="3">
        <v>19</v>
      </c>
      <c r="V13" s="3">
        <v>7</v>
      </c>
      <c r="W13" s="3">
        <v>3</v>
      </c>
      <c r="X13" s="3">
        <v>83</v>
      </c>
      <c r="Y13" s="3">
        <v>87</v>
      </c>
      <c r="Z13" s="4">
        <f t="shared" si="2"/>
        <v>199</v>
      </c>
      <c r="AB13" s="2" t="s">
        <v>98</v>
      </c>
      <c r="AC13" s="2" t="s">
        <v>99</v>
      </c>
      <c r="AD13" s="3">
        <v>9</v>
      </c>
      <c r="AE13" s="3">
        <v>35</v>
      </c>
      <c r="AF13" s="3">
        <v>45</v>
      </c>
      <c r="AG13" s="3">
        <v>32</v>
      </c>
      <c r="AH13" s="3">
        <v>52</v>
      </c>
      <c r="AI13" s="4">
        <f t="shared" si="3"/>
        <v>173</v>
      </c>
    </row>
    <row r="14" spans="1:35" x14ac:dyDescent="0.2">
      <c r="A14" s="2" t="s">
        <v>100</v>
      </c>
      <c r="B14" s="2" t="s">
        <v>101</v>
      </c>
      <c r="C14" s="3">
        <v>1</v>
      </c>
      <c r="D14" s="3">
        <v>12</v>
      </c>
      <c r="E14" s="3">
        <v>81</v>
      </c>
      <c r="F14" s="3">
        <v>35</v>
      </c>
      <c r="G14" s="3">
        <v>62</v>
      </c>
      <c r="H14" s="4">
        <f t="shared" si="0"/>
        <v>191</v>
      </c>
      <c r="J14" s="2" t="s">
        <v>102</v>
      </c>
      <c r="K14" s="2" t="s">
        <v>103</v>
      </c>
      <c r="L14" s="3">
        <v>29</v>
      </c>
      <c r="M14" s="3">
        <v>46</v>
      </c>
      <c r="N14" s="3">
        <v>13</v>
      </c>
      <c r="O14" s="3">
        <v>4</v>
      </c>
      <c r="P14" s="3">
        <v>27</v>
      </c>
      <c r="Q14" s="4">
        <f t="shared" si="1"/>
        <v>119</v>
      </c>
      <c r="S14" s="2" t="s">
        <v>104</v>
      </c>
      <c r="T14" s="2" t="s">
        <v>105</v>
      </c>
      <c r="U14" s="3">
        <v>6</v>
      </c>
      <c r="V14" s="3">
        <v>55</v>
      </c>
      <c r="W14" s="3">
        <v>83</v>
      </c>
      <c r="X14" s="3">
        <v>10</v>
      </c>
      <c r="Y14" s="3">
        <v>51</v>
      </c>
      <c r="Z14" s="4">
        <f t="shared" si="2"/>
        <v>205</v>
      </c>
      <c r="AB14" s="2" t="s">
        <v>106</v>
      </c>
      <c r="AC14" s="2" t="s">
        <v>107</v>
      </c>
      <c r="AD14" s="3">
        <v>88</v>
      </c>
      <c r="AE14" s="3">
        <v>14</v>
      </c>
      <c r="AF14" s="3">
        <v>9</v>
      </c>
      <c r="AG14" s="3">
        <v>70</v>
      </c>
      <c r="AH14" s="3">
        <v>21</v>
      </c>
      <c r="AI14" s="4">
        <f t="shared" si="3"/>
        <v>202</v>
      </c>
    </row>
    <row r="15" spans="1:35" x14ac:dyDescent="0.2">
      <c r="A15" s="2" t="s">
        <v>108</v>
      </c>
      <c r="B15" s="2" t="s">
        <v>109</v>
      </c>
      <c r="C15" s="3">
        <v>67</v>
      </c>
      <c r="D15" s="3">
        <v>44</v>
      </c>
      <c r="E15" s="3">
        <v>63</v>
      </c>
      <c r="F15" s="3">
        <v>33</v>
      </c>
      <c r="G15" s="3">
        <v>54</v>
      </c>
      <c r="H15" s="4">
        <f t="shared" si="0"/>
        <v>261</v>
      </c>
      <c r="J15" s="2" t="s">
        <v>110</v>
      </c>
      <c r="K15" s="2" t="s">
        <v>111</v>
      </c>
      <c r="L15" s="3">
        <v>7</v>
      </c>
      <c r="M15" s="3">
        <v>77</v>
      </c>
      <c r="N15" s="3">
        <v>83</v>
      </c>
      <c r="O15" s="3">
        <v>18</v>
      </c>
      <c r="P15" s="3">
        <v>20</v>
      </c>
      <c r="Q15" s="4">
        <f t="shared" si="1"/>
        <v>205</v>
      </c>
      <c r="S15" s="2" t="s">
        <v>112</v>
      </c>
      <c r="T15" s="2" t="s">
        <v>113</v>
      </c>
      <c r="U15" s="3">
        <v>37</v>
      </c>
      <c r="V15" s="3">
        <v>20</v>
      </c>
      <c r="W15" s="3">
        <v>75</v>
      </c>
      <c r="X15" s="3">
        <v>71</v>
      </c>
      <c r="Y15" s="3">
        <v>87</v>
      </c>
      <c r="Z15" s="4">
        <f t="shared" si="2"/>
        <v>290</v>
      </c>
      <c r="AB15" s="2" t="s">
        <v>114</v>
      </c>
      <c r="AC15" s="2" t="s">
        <v>115</v>
      </c>
      <c r="AD15" s="3">
        <v>63</v>
      </c>
      <c r="AE15" s="3">
        <v>83</v>
      </c>
      <c r="AF15" s="3">
        <v>8</v>
      </c>
      <c r="AG15" s="3">
        <v>73</v>
      </c>
      <c r="AH15" s="3">
        <v>51</v>
      </c>
      <c r="AI15" s="4">
        <f t="shared" si="3"/>
        <v>278</v>
      </c>
    </row>
    <row r="16" spans="1:35" x14ac:dyDescent="0.2">
      <c r="A16" s="2" t="s">
        <v>116</v>
      </c>
      <c r="B16" s="2" t="s">
        <v>117</v>
      </c>
      <c r="C16" s="3">
        <v>3</v>
      </c>
      <c r="D16" s="3">
        <v>71</v>
      </c>
      <c r="E16" s="3">
        <v>26</v>
      </c>
      <c r="F16" s="3">
        <v>4</v>
      </c>
      <c r="G16" s="3">
        <v>82</v>
      </c>
      <c r="H16" s="4">
        <f t="shared" si="0"/>
        <v>186</v>
      </c>
      <c r="J16" s="2" t="s">
        <v>118</v>
      </c>
      <c r="K16" s="2" t="s">
        <v>119</v>
      </c>
      <c r="L16" s="3">
        <v>64</v>
      </c>
      <c r="M16" s="3">
        <v>76</v>
      </c>
      <c r="N16" s="3">
        <v>72</v>
      </c>
      <c r="O16" s="3">
        <v>35</v>
      </c>
      <c r="P16" s="3">
        <v>22</v>
      </c>
      <c r="Q16" s="4">
        <f t="shared" si="1"/>
        <v>269</v>
      </c>
      <c r="S16" s="2" t="s">
        <v>120</v>
      </c>
      <c r="T16" s="2" t="s">
        <v>121</v>
      </c>
      <c r="U16" s="3">
        <v>59</v>
      </c>
      <c r="V16" s="3">
        <v>40</v>
      </c>
      <c r="W16" s="3">
        <v>38</v>
      </c>
      <c r="X16" s="3">
        <v>17</v>
      </c>
      <c r="Y16" s="3">
        <v>18</v>
      </c>
      <c r="Z16" s="4">
        <f t="shared" si="2"/>
        <v>172</v>
      </c>
      <c r="AB16" s="2" t="s">
        <v>122</v>
      </c>
      <c r="AC16" s="2" t="s">
        <v>123</v>
      </c>
      <c r="AD16" s="3">
        <v>43</v>
      </c>
      <c r="AE16" s="3">
        <v>77</v>
      </c>
      <c r="AF16" s="3">
        <v>51</v>
      </c>
      <c r="AG16" s="3">
        <v>26</v>
      </c>
      <c r="AH16" s="3">
        <v>21</v>
      </c>
      <c r="AI16" s="4">
        <f t="shared" si="3"/>
        <v>218</v>
      </c>
    </row>
    <row r="17" spans="1:35" x14ac:dyDescent="0.2">
      <c r="A17" s="2" t="s">
        <v>124</v>
      </c>
      <c r="B17" s="2" t="s">
        <v>125</v>
      </c>
      <c r="C17" s="3">
        <v>46</v>
      </c>
      <c r="D17" s="3">
        <v>36</v>
      </c>
      <c r="E17" s="3">
        <v>3</v>
      </c>
      <c r="F17" s="3">
        <v>27</v>
      </c>
      <c r="G17" s="3">
        <v>73</v>
      </c>
      <c r="H17" s="4">
        <f t="shared" si="0"/>
        <v>185</v>
      </c>
      <c r="J17" s="2" t="s">
        <v>126</v>
      </c>
      <c r="K17" s="2" t="s">
        <v>127</v>
      </c>
      <c r="L17" s="3">
        <v>45</v>
      </c>
      <c r="M17" s="3">
        <v>29</v>
      </c>
      <c r="N17" s="3">
        <v>84</v>
      </c>
      <c r="O17" s="3">
        <v>31</v>
      </c>
      <c r="P17" s="3">
        <v>41</v>
      </c>
      <c r="Q17" s="4">
        <f t="shared" si="1"/>
        <v>230</v>
      </c>
      <c r="S17" s="2" t="s">
        <v>128</v>
      </c>
      <c r="T17" s="2" t="s">
        <v>129</v>
      </c>
      <c r="U17" s="3">
        <v>65</v>
      </c>
      <c r="V17" s="3">
        <v>53</v>
      </c>
      <c r="W17" s="3">
        <v>70</v>
      </c>
      <c r="X17" s="3">
        <v>19</v>
      </c>
      <c r="Y17" s="3">
        <v>51</v>
      </c>
      <c r="Z17" s="4">
        <f t="shared" si="2"/>
        <v>258</v>
      </c>
      <c r="AB17" s="2" t="s">
        <v>130</v>
      </c>
      <c r="AC17" s="2" t="s">
        <v>131</v>
      </c>
      <c r="AD17" s="3">
        <v>82</v>
      </c>
      <c r="AE17" s="3">
        <v>69</v>
      </c>
      <c r="AF17" s="3">
        <v>5</v>
      </c>
      <c r="AG17" s="3">
        <v>42</v>
      </c>
      <c r="AH17" s="3">
        <v>59</v>
      </c>
      <c r="AI17" s="4">
        <f t="shared" si="3"/>
        <v>257</v>
      </c>
    </row>
    <row r="18" spans="1:35" x14ac:dyDescent="0.2">
      <c r="A18" s="2" t="s">
        <v>132</v>
      </c>
      <c r="B18" s="2" t="s">
        <v>133</v>
      </c>
      <c r="C18" s="3">
        <v>43</v>
      </c>
      <c r="D18" s="3">
        <v>47</v>
      </c>
      <c r="E18" s="3">
        <v>3</v>
      </c>
      <c r="F18" s="3">
        <v>50</v>
      </c>
      <c r="G18" s="3">
        <v>56</v>
      </c>
      <c r="H18" s="4">
        <f t="shared" si="0"/>
        <v>199</v>
      </c>
      <c r="J18" s="2" t="s">
        <v>134</v>
      </c>
      <c r="K18" s="2" t="s">
        <v>135</v>
      </c>
      <c r="L18" s="3">
        <v>45</v>
      </c>
      <c r="M18" s="3">
        <v>83</v>
      </c>
      <c r="N18" s="3">
        <v>50</v>
      </c>
      <c r="O18" s="3">
        <v>7</v>
      </c>
      <c r="P18" s="3">
        <v>24</v>
      </c>
      <c r="Q18" s="4">
        <f t="shared" si="1"/>
        <v>209</v>
      </c>
      <c r="S18" s="2" t="s">
        <v>136</v>
      </c>
      <c r="T18" s="2" t="s">
        <v>137</v>
      </c>
      <c r="U18" s="3">
        <v>42</v>
      </c>
      <c r="V18" s="3">
        <v>45</v>
      </c>
      <c r="W18" s="3">
        <v>72</v>
      </c>
      <c r="X18" s="3">
        <v>81</v>
      </c>
      <c r="Y18" s="3">
        <v>88</v>
      </c>
      <c r="Z18" s="4">
        <f t="shared" si="2"/>
        <v>328</v>
      </c>
      <c r="AB18" s="2" t="s">
        <v>138</v>
      </c>
      <c r="AC18" s="2" t="s">
        <v>139</v>
      </c>
      <c r="AD18" s="3">
        <v>49</v>
      </c>
      <c r="AE18" s="3">
        <v>7</v>
      </c>
      <c r="AF18" s="3">
        <v>45</v>
      </c>
      <c r="AG18" s="3">
        <v>52</v>
      </c>
      <c r="AH18" s="3">
        <v>89</v>
      </c>
      <c r="AI18" s="4">
        <f t="shared" si="3"/>
        <v>242</v>
      </c>
    </row>
    <row r="19" spans="1:35" x14ac:dyDescent="0.2">
      <c r="A19" s="2" t="s">
        <v>140</v>
      </c>
      <c r="B19" s="2" t="s">
        <v>141</v>
      </c>
      <c r="C19" s="3">
        <v>12</v>
      </c>
      <c r="D19" s="3">
        <v>77</v>
      </c>
      <c r="E19" s="3">
        <v>28</v>
      </c>
      <c r="F19" s="3">
        <v>54</v>
      </c>
      <c r="G19" s="3">
        <v>86</v>
      </c>
      <c r="H19" s="4">
        <f t="shared" si="0"/>
        <v>257</v>
      </c>
      <c r="J19" s="2" t="s">
        <v>142</v>
      </c>
      <c r="K19" s="2" t="s">
        <v>143</v>
      </c>
      <c r="L19" s="3">
        <v>60</v>
      </c>
      <c r="M19" s="3">
        <v>38</v>
      </c>
      <c r="N19" s="3">
        <v>36</v>
      </c>
      <c r="O19" s="3">
        <v>79</v>
      </c>
      <c r="P19" s="3">
        <v>34</v>
      </c>
      <c r="Q19" s="4">
        <f t="shared" si="1"/>
        <v>247</v>
      </c>
      <c r="S19" s="2" t="s">
        <v>144</v>
      </c>
      <c r="T19" s="2" t="s">
        <v>145</v>
      </c>
      <c r="U19" s="3">
        <v>49</v>
      </c>
      <c r="V19" s="3">
        <v>65</v>
      </c>
      <c r="W19" s="3">
        <v>31</v>
      </c>
      <c r="X19" s="3">
        <v>44</v>
      </c>
      <c r="Y19" s="3">
        <v>52</v>
      </c>
      <c r="Z19" s="4">
        <f t="shared" si="2"/>
        <v>241</v>
      </c>
      <c r="AB19" s="2" t="s">
        <v>146</v>
      </c>
      <c r="AC19" s="2" t="s">
        <v>147</v>
      </c>
      <c r="AD19" s="3">
        <v>35</v>
      </c>
      <c r="AE19" s="3">
        <v>59</v>
      </c>
      <c r="AF19" s="3">
        <v>9</v>
      </c>
      <c r="AG19" s="3">
        <v>52</v>
      </c>
      <c r="AH19" s="3">
        <v>42</v>
      </c>
      <c r="AI19" s="4">
        <f t="shared" si="3"/>
        <v>197</v>
      </c>
    </row>
    <row r="20" spans="1:35" x14ac:dyDescent="0.2">
      <c r="A20" s="2" t="s">
        <v>148</v>
      </c>
      <c r="B20" s="2" t="s">
        <v>149</v>
      </c>
      <c r="C20" s="3">
        <v>54</v>
      </c>
      <c r="D20" s="3">
        <v>73</v>
      </c>
      <c r="E20" s="3">
        <v>60</v>
      </c>
      <c r="F20" s="3">
        <v>5</v>
      </c>
      <c r="G20" s="3">
        <v>56</v>
      </c>
      <c r="H20" s="4">
        <f t="shared" si="0"/>
        <v>248</v>
      </c>
      <c r="J20" s="2" t="s">
        <v>150</v>
      </c>
      <c r="K20" s="2" t="s">
        <v>151</v>
      </c>
      <c r="L20" s="3">
        <v>1</v>
      </c>
      <c r="M20" s="3">
        <v>5</v>
      </c>
      <c r="N20" s="3">
        <v>60</v>
      </c>
      <c r="O20" s="3">
        <v>20</v>
      </c>
      <c r="P20" s="3">
        <v>84</v>
      </c>
      <c r="Q20" s="4">
        <f t="shared" si="1"/>
        <v>170</v>
      </c>
      <c r="S20" s="2" t="s">
        <v>152</v>
      </c>
      <c r="T20" s="2" t="s">
        <v>153</v>
      </c>
      <c r="U20" s="3">
        <v>86</v>
      </c>
      <c r="V20" s="3">
        <v>61</v>
      </c>
      <c r="W20" s="3">
        <v>89</v>
      </c>
      <c r="X20" s="3">
        <v>71</v>
      </c>
      <c r="Y20" s="3">
        <v>6</v>
      </c>
      <c r="Z20" s="4">
        <f t="shared" si="2"/>
        <v>313</v>
      </c>
      <c r="AB20" s="2" t="s">
        <v>154</v>
      </c>
      <c r="AC20" s="2" t="s">
        <v>155</v>
      </c>
      <c r="AD20" s="3">
        <v>30</v>
      </c>
      <c r="AE20" s="3">
        <v>41</v>
      </c>
      <c r="AF20" s="3">
        <v>7</v>
      </c>
      <c r="AG20" s="3">
        <v>56</v>
      </c>
      <c r="AH20" s="3">
        <v>14</v>
      </c>
      <c r="AI20" s="4">
        <f t="shared" si="3"/>
        <v>148</v>
      </c>
    </row>
    <row r="21" spans="1:35" x14ac:dyDescent="0.2">
      <c r="A21" s="2" t="s">
        <v>156</v>
      </c>
      <c r="B21" s="2" t="s">
        <v>157</v>
      </c>
      <c r="C21" s="3">
        <v>55</v>
      </c>
      <c r="D21" s="3">
        <v>73</v>
      </c>
      <c r="E21" s="3">
        <v>11</v>
      </c>
      <c r="F21" s="3">
        <v>51</v>
      </c>
      <c r="G21" s="3">
        <v>39</v>
      </c>
      <c r="H21" s="4">
        <f t="shared" si="0"/>
        <v>229</v>
      </c>
      <c r="J21" s="2" t="s">
        <v>158</v>
      </c>
      <c r="K21" s="2" t="s">
        <v>159</v>
      </c>
      <c r="L21" s="3">
        <v>71</v>
      </c>
      <c r="M21" s="3">
        <v>42</v>
      </c>
      <c r="N21" s="3">
        <v>62</v>
      </c>
      <c r="O21" s="3">
        <v>54</v>
      </c>
      <c r="P21" s="3">
        <v>32</v>
      </c>
      <c r="Q21" s="4">
        <f t="shared" si="1"/>
        <v>261</v>
      </c>
      <c r="S21" s="2" t="s">
        <v>160</v>
      </c>
      <c r="T21" s="2" t="s">
        <v>161</v>
      </c>
      <c r="U21" s="3">
        <v>20</v>
      </c>
      <c r="V21" s="3">
        <v>24</v>
      </c>
      <c r="W21" s="3">
        <v>73</v>
      </c>
      <c r="X21" s="3">
        <v>43</v>
      </c>
      <c r="Y21" s="3">
        <v>89</v>
      </c>
      <c r="Z21" s="4">
        <f t="shared" si="2"/>
        <v>249</v>
      </c>
      <c r="AB21" s="2" t="s">
        <v>162</v>
      </c>
      <c r="AC21" s="2" t="s">
        <v>163</v>
      </c>
      <c r="AD21" s="3">
        <v>9</v>
      </c>
      <c r="AE21" s="3">
        <v>38</v>
      </c>
      <c r="AF21" s="3">
        <v>35</v>
      </c>
      <c r="AG21" s="3">
        <v>17</v>
      </c>
      <c r="AH21" s="3">
        <v>71</v>
      </c>
      <c r="AI21" s="4">
        <f t="shared" si="3"/>
        <v>170</v>
      </c>
    </row>
    <row r="22" spans="1:35" x14ac:dyDescent="0.2">
      <c r="A22" s="2" t="s">
        <v>164</v>
      </c>
      <c r="B22" s="2" t="s">
        <v>165</v>
      </c>
      <c r="C22" s="3">
        <v>22</v>
      </c>
      <c r="D22" s="3">
        <v>29</v>
      </c>
      <c r="E22" s="3">
        <v>3</v>
      </c>
      <c r="F22" s="3">
        <v>4</v>
      </c>
      <c r="G22" s="3">
        <v>18</v>
      </c>
      <c r="H22" s="4">
        <f t="shared" si="0"/>
        <v>76</v>
      </c>
      <c r="J22" s="2" t="s">
        <v>166</v>
      </c>
      <c r="K22" s="2" t="s">
        <v>167</v>
      </c>
      <c r="L22" s="3">
        <v>65</v>
      </c>
      <c r="M22" s="3">
        <v>88</v>
      </c>
      <c r="N22" s="3">
        <v>63</v>
      </c>
      <c r="O22" s="3">
        <v>81</v>
      </c>
      <c r="P22" s="3">
        <v>36</v>
      </c>
      <c r="Q22" s="4">
        <f t="shared" si="1"/>
        <v>333</v>
      </c>
      <c r="S22" s="2" t="s">
        <v>168</v>
      </c>
      <c r="T22" s="2" t="s">
        <v>169</v>
      </c>
      <c r="U22" s="3">
        <v>25</v>
      </c>
      <c r="V22" s="3">
        <v>41</v>
      </c>
      <c r="W22" s="3">
        <v>47</v>
      </c>
      <c r="X22" s="3">
        <v>27</v>
      </c>
      <c r="Y22" s="3">
        <v>4</v>
      </c>
      <c r="Z22" s="4">
        <f t="shared" si="2"/>
        <v>144</v>
      </c>
      <c r="AB22" s="2" t="s">
        <v>170</v>
      </c>
      <c r="AC22" s="2" t="s">
        <v>171</v>
      </c>
      <c r="AD22" s="3">
        <v>31</v>
      </c>
      <c r="AE22" s="3">
        <v>12</v>
      </c>
      <c r="AF22" s="3">
        <v>13</v>
      </c>
      <c r="AG22" s="3">
        <v>43</v>
      </c>
      <c r="AH22" s="3">
        <v>59</v>
      </c>
      <c r="AI22" s="4">
        <f t="shared" si="3"/>
        <v>158</v>
      </c>
    </row>
    <row r="23" spans="1:35" x14ac:dyDescent="0.2">
      <c r="A23" s="2" t="s">
        <v>172</v>
      </c>
      <c r="B23" s="2" t="s">
        <v>173</v>
      </c>
      <c r="C23" s="3">
        <v>73</v>
      </c>
      <c r="D23" s="3">
        <v>39</v>
      </c>
      <c r="E23" s="3">
        <v>48</v>
      </c>
      <c r="F23" s="3">
        <v>59</v>
      </c>
      <c r="G23" s="3">
        <v>18</v>
      </c>
      <c r="H23" s="4">
        <f t="shared" si="0"/>
        <v>237</v>
      </c>
      <c r="J23" s="2" t="s">
        <v>174</v>
      </c>
      <c r="K23" s="2" t="s">
        <v>175</v>
      </c>
      <c r="L23" s="3">
        <v>48</v>
      </c>
      <c r="M23" s="3">
        <v>5</v>
      </c>
      <c r="N23" s="3">
        <v>16</v>
      </c>
      <c r="O23" s="3">
        <v>13</v>
      </c>
      <c r="P23" s="3">
        <v>49</v>
      </c>
      <c r="Q23" s="4">
        <f t="shared" si="1"/>
        <v>131</v>
      </c>
      <c r="S23" s="2" t="s">
        <v>176</v>
      </c>
      <c r="T23" s="2" t="s">
        <v>177</v>
      </c>
      <c r="U23" s="3">
        <v>8</v>
      </c>
      <c r="V23" s="3">
        <v>2</v>
      </c>
      <c r="W23" s="3">
        <v>67</v>
      </c>
      <c r="X23" s="3">
        <v>81</v>
      </c>
      <c r="Y23" s="3">
        <v>86</v>
      </c>
      <c r="Z23" s="4">
        <f t="shared" si="2"/>
        <v>244</v>
      </c>
      <c r="AB23" s="2" t="s">
        <v>178</v>
      </c>
      <c r="AC23" s="2" t="s">
        <v>179</v>
      </c>
      <c r="AD23" s="3">
        <v>64</v>
      </c>
      <c r="AE23" s="3">
        <v>69</v>
      </c>
      <c r="AF23" s="3">
        <v>48</v>
      </c>
      <c r="AG23" s="3">
        <v>73</v>
      </c>
      <c r="AH23" s="3">
        <v>77</v>
      </c>
      <c r="AI23" s="4">
        <f t="shared" si="3"/>
        <v>331</v>
      </c>
    </row>
    <row r="24" spans="1:35" x14ac:dyDescent="0.2">
      <c r="A24" s="2" t="s">
        <v>180</v>
      </c>
      <c r="B24" s="2" t="s">
        <v>181</v>
      </c>
      <c r="C24" s="3">
        <v>14</v>
      </c>
      <c r="D24" s="3">
        <v>40</v>
      </c>
      <c r="E24" s="3">
        <v>23</v>
      </c>
      <c r="F24" s="3">
        <v>19</v>
      </c>
      <c r="G24" s="3">
        <v>86</v>
      </c>
      <c r="H24" s="4">
        <f t="shared" si="0"/>
        <v>182</v>
      </c>
      <c r="J24" s="2" t="s">
        <v>182</v>
      </c>
      <c r="K24" s="2" t="s">
        <v>183</v>
      </c>
      <c r="L24" s="3">
        <v>38</v>
      </c>
      <c r="M24" s="3">
        <v>82</v>
      </c>
      <c r="N24" s="3">
        <v>50</v>
      </c>
      <c r="O24" s="3">
        <v>25</v>
      </c>
      <c r="P24" s="3">
        <v>67</v>
      </c>
      <c r="Q24" s="4">
        <f t="shared" si="1"/>
        <v>262</v>
      </c>
      <c r="S24" s="2" t="s">
        <v>184</v>
      </c>
      <c r="T24" s="2" t="s">
        <v>185</v>
      </c>
      <c r="U24" s="3">
        <v>55</v>
      </c>
      <c r="V24" s="3">
        <v>10</v>
      </c>
      <c r="W24" s="3">
        <v>89</v>
      </c>
      <c r="X24" s="3">
        <v>50</v>
      </c>
      <c r="Y24" s="3">
        <v>68</v>
      </c>
      <c r="Z24" s="4">
        <f t="shared" si="2"/>
        <v>272</v>
      </c>
      <c r="AB24" s="2" t="s">
        <v>186</v>
      </c>
      <c r="AC24" s="2" t="s">
        <v>187</v>
      </c>
      <c r="AD24" s="3">
        <v>44</v>
      </c>
      <c r="AE24" s="3">
        <v>26</v>
      </c>
      <c r="AF24" s="3">
        <v>86</v>
      </c>
      <c r="AG24" s="3">
        <v>74</v>
      </c>
      <c r="AH24" s="3">
        <v>80</v>
      </c>
      <c r="AI24" s="4">
        <f t="shared" si="3"/>
        <v>310</v>
      </c>
    </row>
    <row r="25" spans="1:35" x14ac:dyDescent="0.2">
      <c r="A25" s="2" t="s">
        <v>188</v>
      </c>
      <c r="B25" s="2" t="s">
        <v>189</v>
      </c>
      <c r="C25" s="3">
        <v>89</v>
      </c>
      <c r="D25" s="3">
        <v>33</v>
      </c>
      <c r="E25" s="3">
        <v>7</v>
      </c>
      <c r="F25" s="3">
        <v>43</v>
      </c>
      <c r="G25" s="3">
        <v>80</v>
      </c>
      <c r="H25" s="4">
        <f t="shared" si="0"/>
        <v>252</v>
      </c>
      <c r="J25" s="2" t="s">
        <v>190</v>
      </c>
      <c r="K25" s="2" t="s">
        <v>191</v>
      </c>
      <c r="L25" s="3">
        <v>52</v>
      </c>
      <c r="M25" s="3">
        <v>82</v>
      </c>
      <c r="N25" s="3">
        <v>74</v>
      </c>
      <c r="O25" s="3">
        <v>11</v>
      </c>
      <c r="P25" s="3">
        <v>62</v>
      </c>
      <c r="Q25" s="4">
        <f t="shared" si="1"/>
        <v>281</v>
      </c>
      <c r="S25" s="2" t="s">
        <v>192</v>
      </c>
      <c r="T25" s="2" t="s">
        <v>193</v>
      </c>
      <c r="U25" s="3">
        <v>86</v>
      </c>
      <c r="V25" s="3">
        <v>15</v>
      </c>
      <c r="W25" s="3">
        <v>12</v>
      </c>
      <c r="X25" s="3">
        <v>55</v>
      </c>
      <c r="Y25" s="3">
        <v>44</v>
      </c>
      <c r="Z25" s="4">
        <f t="shared" si="2"/>
        <v>212</v>
      </c>
      <c r="AB25" s="2" t="s">
        <v>194</v>
      </c>
      <c r="AC25" s="2" t="s">
        <v>195</v>
      </c>
      <c r="AD25" s="3">
        <v>33</v>
      </c>
      <c r="AE25" s="3">
        <v>86</v>
      </c>
      <c r="AF25" s="3">
        <v>40</v>
      </c>
      <c r="AG25" s="3">
        <v>79</v>
      </c>
      <c r="AH25" s="3">
        <v>88</v>
      </c>
      <c r="AI25" s="4">
        <f t="shared" si="3"/>
        <v>326</v>
      </c>
    </row>
    <row r="26" spans="1:35" x14ac:dyDescent="0.2">
      <c r="A26" s="2" t="s">
        <v>196</v>
      </c>
      <c r="B26" s="2" t="s">
        <v>197</v>
      </c>
      <c r="C26" s="3">
        <v>70</v>
      </c>
      <c r="D26" s="3">
        <v>47</v>
      </c>
      <c r="E26" s="3">
        <v>18</v>
      </c>
      <c r="F26" s="3">
        <v>17</v>
      </c>
      <c r="G26" s="3">
        <v>36</v>
      </c>
      <c r="H26" s="4">
        <f t="shared" si="0"/>
        <v>188</v>
      </c>
      <c r="J26" s="2" t="s">
        <v>198</v>
      </c>
      <c r="K26" s="2" t="s">
        <v>199</v>
      </c>
      <c r="L26" s="3">
        <v>70</v>
      </c>
      <c r="M26" s="3">
        <v>29</v>
      </c>
      <c r="N26" s="3">
        <v>90</v>
      </c>
      <c r="O26" s="3">
        <v>61</v>
      </c>
      <c r="P26" s="3">
        <v>81</v>
      </c>
      <c r="Q26" s="4">
        <f t="shared" si="1"/>
        <v>331</v>
      </c>
      <c r="S26" s="2" t="s">
        <v>200</v>
      </c>
      <c r="T26" s="2" t="s">
        <v>201</v>
      </c>
      <c r="U26" s="3">
        <v>1</v>
      </c>
      <c r="V26" s="3">
        <v>70</v>
      </c>
      <c r="W26" s="3">
        <v>71</v>
      </c>
      <c r="X26" s="3">
        <v>60</v>
      </c>
      <c r="Y26" s="3">
        <v>34</v>
      </c>
      <c r="Z26" s="4">
        <f t="shared" si="2"/>
        <v>236</v>
      </c>
      <c r="AB26" s="2" t="s">
        <v>202</v>
      </c>
      <c r="AC26" s="2" t="s">
        <v>203</v>
      </c>
      <c r="AD26" s="3">
        <v>53</v>
      </c>
      <c r="AE26" s="3">
        <v>84</v>
      </c>
      <c r="AF26" s="3">
        <v>78</v>
      </c>
      <c r="AG26" s="3">
        <v>48</v>
      </c>
      <c r="AH26" s="3">
        <v>34</v>
      </c>
      <c r="AI26" s="4">
        <f t="shared" si="3"/>
        <v>297</v>
      </c>
    </row>
    <row r="27" spans="1:35" x14ac:dyDescent="0.2">
      <c r="A27" s="2" t="s">
        <v>204</v>
      </c>
      <c r="B27" s="2" t="s">
        <v>205</v>
      </c>
      <c r="C27" s="3">
        <v>22</v>
      </c>
      <c r="D27" s="3">
        <v>20</v>
      </c>
      <c r="E27" s="3">
        <v>24</v>
      </c>
      <c r="F27" s="3">
        <v>63</v>
      </c>
      <c r="G27" s="3">
        <v>58</v>
      </c>
      <c r="H27" s="4">
        <f t="shared" si="0"/>
        <v>187</v>
      </c>
      <c r="J27" s="2" t="s">
        <v>206</v>
      </c>
      <c r="K27" s="2" t="s">
        <v>207</v>
      </c>
      <c r="L27" s="3">
        <v>71</v>
      </c>
      <c r="M27" s="3">
        <v>11</v>
      </c>
      <c r="N27" s="3">
        <v>90</v>
      </c>
      <c r="O27" s="3">
        <v>74</v>
      </c>
      <c r="P27" s="3">
        <v>73</v>
      </c>
      <c r="Q27" s="4">
        <f t="shared" si="1"/>
        <v>319</v>
      </c>
      <c r="S27" s="2" t="s">
        <v>208</v>
      </c>
      <c r="T27" s="2" t="s">
        <v>209</v>
      </c>
      <c r="U27" s="3">
        <v>31</v>
      </c>
      <c r="V27" s="3">
        <v>13</v>
      </c>
      <c r="W27" s="3">
        <v>47</v>
      </c>
      <c r="X27" s="3">
        <v>50</v>
      </c>
      <c r="Y27" s="3">
        <v>1</v>
      </c>
      <c r="Z27" s="4">
        <f t="shared" si="2"/>
        <v>142</v>
      </c>
      <c r="AB27" s="2" t="s">
        <v>210</v>
      </c>
      <c r="AC27" s="2" t="s">
        <v>211</v>
      </c>
      <c r="AD27" s="3">
        <v>29</v>
      </c>
      <c r="AE27" s="3">
        <v>78</v>
      </c>
      <c r="AF27" s="3">
        <v>81</v>
      </c>
      <c r="AG27" s="3">
        <v>90</v>
      </c>
      <c r="AH27" s="3">
        <v>11</v>
      </c>
      <c r="AI27" s="4">
        <f t="shared" si="3"/>
        <v>289</v>
      </c>
    </row>
    <row r="28" spans="1:35" x14ac:dyDescent="0.2">
      <c r="A28" s="2" t="s">
        <v>212</v>
      </c>
      <c r="B28" s="2" t="s">
        <v>213</v>
      </c>
      <c r="C28" s="3">
        <v>26</v>
      </c>
      <c r="D28" s="3">
        <v>79</v>
      </c>
      <c r="E28" s="3">
        <v>61</v>
      </c>
      <c r="F28" s="3">
        <v>75</v>
      </c>
      <c r="G28" s="3">
        <v>35</v>
      </c>
      <c r="H28" s="4">
        <f t="shared" si="0"/>
        <v>276</v>
      </c>
      <c r="J28" s="2" t="s">
        <v>214</v>
      </c>
      <c r="K28" s="2" t="s">
        <v>215</v>
      </c>
      <c r="L28" s="3">
        <v>54</v>
      </c>
      <c r="M28" s="3">
        <v>72</v>
      </c>
      <c r="N28" s="3">
        <v>70</v>
      </c>
      <c r="O28" s="3">
        <v>86</v>
      </c>
      <c r="P28" s="3">
        <v>62</v>
      </c>
      <c r="Q28" s="4">
        <f t="shared" si="1"/>
        <v>344</v>
      </c>
      <c r="S28" s="2" t="s">
        <v>216</v>
      </c>
      <c r="T28" s="2" t="s">
        <v>217</v>
      </c>
      <c r="U28" s="3">
        <v>35</v>
      </c>
      <c r="V28" s="3">
        <v>66</v>
      </c>
      <c r="W28" s="3">
        <v>13</v>
      </c>
      <c r="X28" s="3">
        <v>26</v>
      </c>
      <c r="Y28" s="3">
        <v>65</v>
      </c>
      <c r="Z28" s="4">
        <f t="shared" si="2"/>
        <v>205</v>
      </c>
      <c r="AB28" s="2" t="s">
        <v>218</v>
      </c>
      <c r="AC28" s="2" t="s">
        <v>219</v>
      </c>
      <c r="AD28" s="3">
        <v>11</v>
      </c>
      <c r="AE28" s="3">
        <v>18</v>
      </c>
      <c r="AF28" s="3">
        <v>81</v>
      </c>
      <c r="AG28" s="3">
        <v>34</v>
      </c>
      <c r="AH28" s="3">
        <v>9</v>
      </c>
      <c r="AI28" s="4">
        <f t="shared" si="3"/>
        <v>153</v>
      </c>
    </row>
    <row r="29" spans="1:35" x14ac:dyDescent="0.2">
      <c r="A29" s="2" t="s">
        <v>220</v>
      </c>
      <c r="B29" s="2" t="s">
        <v>221</v>
      </c>
      <c r="C29" s="3">
        <v>31</v>
      </c>
      <c r="D29" s="3">
        <v>72</v>
      </c>
      <c r="E29" s="3">
        <v>20</v>
      </c>
      <c r="F29" s="3">
        <v>1</v>
      </c>
      <c r="G29" s="3">
        <v>24</v>
      </c>
      <c r="H29" s="4">
        <f t="shared" si="0"/>
        <v>148</v>
      </c>
      <c r="J29" s="2" t="s">
        <v>222</v>
      </c>
      <c r="K29" s="2" t="s">
        <v>223</v>
      </c>
      <c r="L29" s="3">
        <v>28</v>
      </c>
      <c r="M29" s="3">
        <v>45</v>
      </c>
      <c r="N29" s="3">
        <v>21</v>
      </c>
      <c r="O29" s="3">
        <v>69</v>
      </c>
      <c r="P29" s="3">
        <v>48</v>
      </c>
      <c r="Q29" s="4">
        <f t="shared" si="1"/>
        <v>211</v>
      </c>
      <c r="S29" s="2" t="s">
        <v>224</v>
      </c>
      <c r="T29" s="2" t="s">
        <v>225</v>
      </c>
      <c r="U29" s="3">
        <v>56</v>
      </c>
      <c r="V29" s="3">
        <v>25</v>
      </c>
      <c r="W29" s="3">
        <v>13</v>
      </c>
      <c r="X29" s="3">
        <v>76</v>
      </c>
      <c r="Y29" s="3">
        <v>23</v>
      </c>
      <c r="Z29" s="4">
        <f t="shared" si="2"/>
        <v>193</v>
      </c>
      <c r="AB29" s="2" t="s">
        <v>226</v>
      </c>
      <c r="AC29" s="2" t="s">
        <v>227</v>
      </c>
      <c r="AD29" s="3">
        <v>46</v>
      </c>
      <c r="AE29" s="3">
        <v>26</v>
      </c>
      <c r="AF29" s="3">
        <v>8</v>
      </c>
      <c r="AG29" s="3">
        <v>38</v>
      </c>
      <c r="AH29" s="3">
        <v>25</v>
      </c>
      <c r="AI29" s="4">
        <f t="shared" si="3"/>
        <v>143</v>
      </c>
    </row>
    <row r="30" spans="1:35" x14ac:dyDescent="0.2">
      <c r="J30" s="2" t="s">
        <v>228</v>
      </c>
      <c r="K30" s="2" t="s">
        <v>229</v>
      </c>
      <c r="L30" s="3">
        <v>66</v>
      </c>
      <c r="M30" s="3">
        <v>63</v>
      </c>
      <c r="N30" s="3">
        <v>11</v>
      </c>
      <c r="O30" s="3">
        <v>28</v>
      </c>
      <c r="P30" s="3">
        <v>9</v>
      </c>
      <c r="Q30" s="4">
        <f t="shared" si="1"/>
        <v>177</v>
      </c>
      <c r="S30" s="2" t="s">
        <v>230</v>
      </c>
      <c r="T30" s="2" t="s">
        <v>231</v>
      </c>
      <c r="U30" s="3">
        <v>14</v>
      </c>
      <c r="V30" s="3">
        <v>57</v>
      </c>
      <c r="W30" s="3">
        <v>53</v>
      </c>
      <c r="X30" s="3">
        <v>13</v>
      </c>
      <c r="Y30" s="3">
        <v>49</v>
      </c>
      <c r="Z30" s="4">
        <f t="shared" si="2"/>
        <v>186</v>
      </c>
    </row>
    <row r="31" spans="1:35" x14ac:dyDescent="0.2">
      <c r="J31" s="2" t="s">
        <v>232</v>
      </c>
      <c r="K31" s="2" t="s">
        <v>233</v>
      </c>
      <c r="L31" s="3">
        <v>80</v>
      </c>
      <c r="M31" s="3">
        <v>38</v>
      </c>
      <c r="N31" s="3">
        <v>60</v>
      </c>
      <c r="O31" s="3">
        <v>42</v>
      </c>
      <c r="P31" s="3">
        <v>68</v>
      </c>
      <c r="Q31" s="4">
        <f t="shared" si="1"/>
        <v>288</v>
      </c>
      <c r="S31" s="2" t="s">
        <v>234</v>
      </c>
      <c r="T31" s="2" t="s">
        <v>235</v>
      </c>
      <c r="U31" s="3">
        <v>73</v>
      </c>
      <c r="V31" s="3">
        <v>5</v>
      </c>
      <c r="W31" s="3">
        <v>24</v>
      </c>
      <c r="X31" s="3">
        <v>10</v>
      </c>
      <c r="Y31" s="3">
        <v>64</v>
      </c>
      <c r="Z31" s="4">
        <f t="shared" si="2"/>
        <v>176</v>
      </c>
    </row>
    <row r="32" spans="1:35" x14ac:dyDescent="0.2">
      <c r="J32" s="2" t="s">
        <v>236</v>
      </c>
      <c r="K32" s="2" t="s">
        <v>237</v>
      </c>
      <c r="L32" s="3">
        <v>36</v>
      </c>
      <c r="M32" s="3">
        <v>51</v>
      </c>
      <c r="N32" s="3">
        <v>76</v>
      </c>
      <c r="O32" s="3">
        <v>32</v>
      </c>
      <c r="P32" s="3">
        <v>29</v>
      </c>
      <c r="Q32" s="4">
        <f t="shared" si="1"/>
        <v>224</v>
      </c>
      <c r="S32" s="2" t="s">
        <v>238</v>
      </c>
      <c r="T32" s="2" t="s">
        <v>239</v>
      </c>
      <c r="U32" s="3">
        <v>78</v>
      </c>
      <c r="V32" s="3">
        <v>34</v>
      </c>
      <c r="W32" s="3">
        <v>8</v>
      </c>
      <c r="X32" s="3">
        <v>46</v>
      </c>
      <c r="Y32" s="3">
        <v>69</v>
      </c>
      <c r="Z32" s="4">
        <f t="shared" si="2"/>
        <v>235</v>
      </c>
    </row>
    <row r="33" spans="10:26" x14ac:dyDescent="0.2">
      <c r="J33" s="2" t="s">
        <v>240</v>
      </c>
      <c r="K33" s="2" t="s">
        <v>241</v>
      </c>
      <c r="L33" s="3">
        <v>52</v>
      </c>
      <c r="M33" s="3">
        <v>15</v>
      </c>
      <c r="N33" s="3">
        <v>19</v>
      </c>
      <c r="O33" s="3">
        <v>61</v>
      </c>
      <c r="P33" s="3">
        <v>34</v>
      </c>
      <c r="Q33" s="4">
        <f t="shared" si="1"/>
        <v>181</v>
      </c>
      <c r="S33" s="2" t="s">
        <v>242</v>
      </c>
      <c r="T33" s="2" t="s">
        <v>243</v>
      </c>
      <c r="U33" s="3">
        <v>58</v>
      </c>
      <c r="V33" s="3">
        <v>42</v>
      </c>
      <c r="W33" s="3">
        <v>66</v>
      </c>
      <c r="X33" s="3">
        <v>69</v>
      </c>
      <c r="Y33" s="3">
        <v>60</v>
      </c>
      <c r="Z33" s="4">
        <f t="shared" si="2"/>
        <v>295</v>
      </c>
    </row>
    <row r="34" spans="10:26" x14ac:dyDescent="0.2">
      <c r="J34" s="2" t="s">
        <v>244</v>
      </c>
      <c r="K34" s="2" t="s">
        <v>245</v>
      </c>
      <c r="L34" s="3">
        <v>60</v>
      </c>
      <c r="M34" s="3">
        <v>68</v>
      </c>
      <c r="N34" s="3">
        <v>57</v>
      </c>
      <c r="O34" s="3">
        <v>72</v>
      </c>
      <c r="P34" s="3">
        <v>22</v>
      </c>
      <c r="Q34" s="4">
        <f t="shared" si="1"/>
        <v>279</v>
      </c>
      <c r="S34" s="2" t="s">
        <v>246</v>
      </c>
      <c r="T34" s="2" t="s">
        <v>247</v>
      </c>
      <c r="U34" s="3">
        <v>34</v>
      </c>
      <c r="V34" s="3">
        <v>45</v>
      </c>
      <c r="W34" s="3">
        <v>81</v>
      </c>
      <c r="X34" s="3">
        <v>61</v>
      </c>
      <c r="Y34" s="3">
        <v>46</v>
      </c>
      <c r="Z34" s="4">
        <f t="shared" si="2"/>
        <v>267</v>
      </c>
    </row>
    <row r="35" spans="10:26" x14ac:dyDescent="0.2">
      <c r="J35" s="2" t="s">
        <v>248</v>
      </c>
      <c r="K35" s="2" t="s">
        <v>249</v>
      </c>
      <c r="L35" s="3">
        <v>6</v>
      </c>
      <c r="M35" s="3">
        <v>46</v>
      </c>
      <c r="N35" s="3">
        <v>53</v>
      </c>
      <c r="O35" s="3">
        <v>70</v>
      </c>
      <c r="P35" s="3">
        <v>65</v>
      </c>
      <c r="Q35" s="4">
        <f t="shared" ref="Q35:Q54" si="4">SUM(L35:P35)</f>
        <v>240</v>
      </c>
      <c r="S35" s="2" t="s">
        <v>250</v>
      </c>
      <c r="T35" s="2" t="s">
        <v>251</v>
      </c>
      <c r="U35" s="3">
        <v>14</v>
      </c>
      <c r="V35" s="3">
        <v>81</v>
      </c>
      <c r="W35" s="3">
        <v>2</v>
      </c>
      <c r="X35" s="3">
        <v>13</v>
      </c>
      <c r="Y35" s="3">
        <v>76</v>
      </c>
      <c r="Z35" s="4">
        <f t="shared" ref="Z35:Z54" si="5">SUM(U35:Y35)</f>
        <v>186</v>
      </c>
    </row>
    <row r="36" spans="10:26" x14ac:dyDescent="0.2">
      <c r="J36" s="2" t="s">
        <v>252</v>
      </c>
      <c r="K36" s="2" t="s">
        <v>253</v>
      </c>
      <c r="L36" s="3">
        <v>43</v>
      </c>
      <c r="M36" s="3">
        <v>80</v>
      </c>
      <c r="N36" s="3">
        <v>29</v>
      </c>
      <c r="O36" s="3">
        <v>14</v>
      </c>
      <c r="P36" s="3">
        <v>62</v>
      </c>
      <c r="Q36" s="4">
        <f t="shared" si="4"/>
        <v>228</v>
      </c>
      <c r="S36" s="2" t="s">
        <v>254</v>
      </c>
      <c r="T36" s="2" t="s">
        <v>255</v>
      </c>
      <c r="U36" s="3">
        <v>36</v>
      </c>
      <c r="V36" s="3">
        <v>3</v>
      </c>
      <c r="W36" s="3">
        <v>54</v>
      </c>
      <c r="X36" s="3">
        <v>24</v>
      </c>
      <c r="Y36" s="3">
        <v>43</v>
      </c>
      <c r="Z36" s="4">
        <f t="shared" si="5"/>
        <v>160</v>
      </c>
    </row>
    <row r="37" spans="10:26" x14ac:dyDescent="0.2">
      <c r="J37" s="2" t="s">
        <v>256</v>
      </c>
      <c r="K37" s="2" t="s">
        <v>257</v>
      </c>
      <c r="L37" s="3">
        <v>9</v>
      </c>
      <c r="M37" s="3">
        <v>80</v>
      </c>
      <c r="N37" s="3">
        <v>82</v>
      </c>
      <c r="O37" s="3">
        <v>58</v>
      </c>
      <c r="P37" s="3">
        <v>21</v>
      </c>
      <c r="Q37" s="4">
        <f t="shared" si="4"/>
        <v>250</v>
      </c>
      <c r="S37" s="2" t="s">
        <v>258</v>
      </c>
      <c r="T37" s="2" t="s">
        <v>259</v>
      </c>
      <c r="U37" s="3">
        <v>50</v>
      </c>
      <c r="V37" s="3">
        <v>37</v>
      </c>
      <c r="W37" s="3">
        <v>76</v>
      </c>
      <c r="X37" s="3">
        <v>31</v>
      </c>
      <c r="Y37" s="3">
        <v>6</v>
      </c>
      <c r="Z37" s="4">
        <f t="shared" si="5"/>
        <v>200</v>
      </c>
    </row>
    <row r="38" spans="10:26" x14ac:dyDescent="0.2">
      <c r="J38" s="2" t="s">
        <v>260</v>
      </c>
      <c r="K38" s="2" t="s">
        <v>261</v>
      </c>
      <c r="L38" s="3">
        <v>62</v>
      </c>
      <c r="M38" s="3">
        <v>23</v>
      </c>
      <c r="N38" s="3">
        <v>45</v>
      </c>
      <c r="O38" s="3">
        <v>41</v>
      </c>
      <c r="P38" s="3">
        <v>54</v>
      </c>
      <c r="Q38" s="4">
        <f t="shared" si="4"/>
        <v>225</v>
      </c>
      <c r="S38" s="2" t="s">
        <v>262</v>
      </c>
      <c r="T38" s="2" t="s">
        <v>263</v>
      </c>
      <c r="U38" s="3">
        <v>30</v>
      </c>
      <c r="V38" s="3">
        <v>86</v>
      </c>
      <c r="W38" s="3">
        <v>67</v>
      </c>
      <c r="X38" s="3">
        <v>4</v>
      </c>
      <c r="Y38" s="3">
        <v>72</v>
      </c>
      <c r="Z38" s="4">
        <f t="shared" si="5"/>
        <v>259</v>
      </c>
    </row>
    <row r="39" spans="10:26" x14ac:dyDescent="0.2">
      <c r="J39" s="2" t="s">
        <v>264</v>
      </c>
      <c r="K39" s="2" t="s">
        <v>265</v>
      </c>
      <c r="L39" s="3">
        <v>35</v>
      </c>
      <c r="M39" s="3">
        <v>38</v>
      </c>
      <c r="N39" s="3">
        <v>6</v>
      </c>
      <c r="O39" s="3">
        <v>23</v>
      </c>
      <c r="P39" s="3">
        <v>7</v>
      </c>
      <c r="Q39" s="4">
        <f t="shared" si="4"/>
        <v>109</v>
      </c>
      <c r="S39" s="2" t="s">
        <v>266</v>
      </c>
      <c r="T39" s="2" t="s">
        <v>267</v>
      </c>
      <c r="U39" s="3">
        <v>84</v>
      </c>
      <c r="V39" s="3">
        <v>61</v>
      </c>
      <c r="W39" s="3">
        <v>45</v>
      </c>
      <c r="X39" s="3">
        <v>52</v>
      </c>
      <c r="Y39" s="3">
        <v>65</v>
      </c>
      <c r="Z39" s="4">
        <f t="shared" si="5"/>
        <v>307</v>
      </c>
    </row>
    <row r="40" spans="10:26" x14ac:dyDescent="0.2">
      <c r="J40" s="2" t="s">
        <v>268</v>
      </c>
      <c r="K40" s="2" t="s">
        <v>269</v>
      </c>
      <c r="L40" s="3">
        <v>4</v>
      </c>
      <c r="M40" s="3">
        <v>81</v>
      </c>
      <c r="N40" s="3">
        <v>31</v>
      </c>
      <c r="O40" s="3">
        <v>45</v>
      </c>
      <c r="P40" s="3">
        <v>51</v>
      </c>
      <c r="Q40" s="4">
        <f t="shared" si="4"/>
        <v>212</v>
      </c>
      <c r="S40" s="2" t="s">
        <v>270</v>
      </c>
      <c r="T40" s="2" t="s">
        <v>271</v>
      </c>
      <c r="U40" s="3">
        <v>23</v>
      </c>
      <c r="V40" s="3">
        <v>42</v>
      </c>
      <c r="W40" s="3">
        <v>17</v>
      </c>
      <c r="X40" s="3">
        <v>41</v>
      </c>
      <c r="Y40" s="3">
        <v>8</v>
      </c>
      <c r="Z40" s="4">
        <f t="shared" si="5"/>
        <v>131</v>
      </c>
    </row>
    <row r="41" spans="10:26" x14ac:dyDescent="0.2">
      <c r="J41" s="2" t="s">
        <v>272</v>
      </c>
      <c r="K41" s="2" t="s">
        <v>273</v>
      </c>
      <c r="L41" s="3">
        <v>3</v>
      </c>
      <c r="M41" s="3">
        <v>23</v>
      </c>
      <c r="N41" s="3">
        <v>69</v>
      </c>
      <c r="O41" s="3">
        <v>24</v>
      </c>
      <c r="P41" s="3">
        <v>2</v>
      </c>
      <c r="Q41" s="4">
        <f t="shared" si="4"/>
        <v>121</v>
      </c>
      <c r="S41" s="2" t="s">
        <v>274</v>
      </c>
      <c r="T41" s="2" t="s">
        <v>275</v>
      </c>
      <c r="U41" s="3">
        <v>58</v>
      </c>
      <c r="V41" s="3">
        <v>41</v>
      </c>
      <c r="W41" s="3">
        <v>5</v>
      </c>
      <c r="X41" s="3">
        <v>88</v>
      </c>
      <c r="Y41" s="3">
        <v>13</v>
      </c>
      <c r="Z41" s="4">
        <f t="shared" si="5"/>
        <v>205</v>
      </c>
    </row>
    <row r="42" spans="10:26" x14ac:dyDescent="0.2">
      <c r="J42" s="2" t="s">
        <v>276</v>
      </c>
      <c r="K42" s="2" t="s">
        <v>277</v>
      </c>
      <c r="L42" s="3">
        <v>64</v>
      </c>
      <c r="M42" s="3">
        <v>83</v>
      </c>
      <c r="N42" s="3">
        <v>90</v>
      </c>
      <c r="O42" s="3">
        <v>28</v>
      </c>
      <c r="P42" s="3">
        <v>31</v>
      </c>
      <c r="Q42" s="4">
        <f t="shared" si="4"/>
        <v>296</v>
      </c>
      <c r="S42" s="2" t="s">
        <v>278</v>
      </c>
      <c r="T42" s="2" t="s">
        <v>279</v>
      </c>
      <c r="U42" s="3">
        <v>70</v>
      </c>
      <c r="V42" s="3">
        <v>10</v>
      </c>
      <c r="W42" s="3">
        <v>26</v>
      </c>
      <c r="X42" s="3">
        <v>7</v>
      </c>
      <c r="Y42" s="3">
        <v>34</v>
      </c>
      <c r="Z42" s="4">
        <f t="shared" si="5"/>
        <v>147</v>
      </c>
    </row>
    <row r="43" spans="10:26" x14ac:dyDescent="0.2">
      <c r="J43" s="2" t="s">
        <v>280</v>
      </c>
      <c r="K43" s="2" t="s">
        <v>281</v>
      </c>
      <c r="L43" s="3">
        <v>46</v>
      </c>
      <c r="M43" s="3">
        <v>70</v>
      </c>
      <c r="N43" s="3">
        <v>58</v>
      </c>
      <c r="O43" s="3">
        <v>56</v>
      </c>
      <c r="P43" s="3">
        <v>89</v>
      </c>
      <c r="Q43" s="4">
        <f t="shared" si="4"/>
        <v>319</v>
      </c>
      <c r="S43" s="2" t="s">
        <v>282</v>
      </c>
      <c r="T43" s="2" t="s">
        <v>283</v>
      </c>
      <c r="U43" s="3">
        <v>68</v>
      </c>
      <c r="V43" s="3">
        <v>66</v>
      </c>
      <c r="W43" s="3">
        <v>61</v>
      </c>
      <c r="X43" s="3">
        <v>74</v>
      </c>
      <c r="Y43" s="3">
        <v>80</v>
      </c>
      <c r="Z43" s="4">
        <f t="shared" si="5"/>
        <v>349</v>
      </c>
    </row>
    <row r="44" spans="10:26" x14ac:dyDescent="0.2">
      <c r="J44" s="2" t="s">
        <v>284</v>
      </c>
      <c r="K44" s="2" t="s">
        <v>285</v>
      </c>
      <c r="L44" s="3">
        <v>68</v>
      </c>
      <c r="M44" s="3">
        <v>26</v>
      </c>
      <c r="N44" s="3">
        <v>82</v>
      </c>
      <c r="O44" s="3">
        <v>46</v>
      </c>
      <c r="P44" s="3">
        <v>83</v>
      </c>
      <c r="Q44" s="4">
        <f t="shared" si="4"/>
        <v>305</v>
      </c>
      <c r="S44" s="2" t="s">
        <v>286</v>
      </c>
      <c r="T44" s="2" t="s">
        <v>287</v>
      </c>
      <c r="U44" s="3">
        <v>32</v>
      </c>
      <c r="V44" s="3">
        <v>89</v>
      </c>
      <c r="W44" s="3">
        <v>1</v>
      </c>
      <c r="X44" s="3">
        <v>52</v>
      </c>
      <c r="Y44" s="3">
        <v>81</v>
      </c>
      <c r="Z44" s="4">
        <f t="shared" si="5"/>
        <v>255</v>
      </c>
    </row>
    <row r="45" spans="10:26" x14ac:dyDescent="0.2">
      <c r="J45" s="2" t="s">
        <v>288</v>
      </c>
      <c r="K45" s="2" t="s">
        <v>289</v>
      </c>
      <c r="L45" s="3">
        <v>46</v>
      </c>
      <c r="M45" s="3">
        <v>53</v>
      </c>
      <c r="N45" s="3">
        <v>63</v>
      </c>
      <c r="O45" s="3">
        <v>21</v>
      </c>
      <c r="P45" s="3">
        <v>44</v>
      </c>
      <c r="Q45" s="4">
        <f t="shared" si="4"/>
        <v>227</v>
      </c>
      <c r="S45" s="2" t="s">
        <v>290</v>
      </c>
      <c r="T45" s="2" t="s">
        <v>291</v>
      </c>
      <c r="U45" s="3">
        <v>55</v>
      </c>
      <c r="V45" s="3">
        <v>67</v>
      </c>
      <c r="W45" s="3">
        <v>69</v>
      </c>
      <c r="X45" s="3">
        <v>22</v>
      </c>
      <c r="Y45" s="3">
        <v>61</v>
      </c>
      <c r="Z45" s="4">
        <f t="shared" si="5"/>
        <v>274</v>
      </c>
    </row>
    <row r="46" spans="10:26" x14ac:dyDescent="0.2">
      <c r="J46" s="2" t="s">
        <v>292</v>
      </c>
      <c r="K46" s="2" t="s">
        <v>293</v>
      </c>
      <c r="L46" s="3">
        <v>82</v>
      </c>
      <c r="M46" s="3">
        <v>7</v>
      </c>
      <c r="N46" s="3">
        <v>14</v>
      </c>
      <c r="O46" s="3">
        <v>24</v>
      </c>
      <c r="P46" s="3">
        <v>79</v>
      </c>
      <c r="Q46" s="4">
        <f t="shared" si="4"/>
        <v>206</v>
      </c>
      <c r="S46" s="2" t="s">
        <v>294</v>
      </c>
      <c r="T46" s="2" t="s">
        <v>295</v>
      </c>
      <c r="U46" s="3">
        <v>62</v>
      </c>
      <c r="V46" s="3">
        <v>60</v>
      </c>
      <c r="W46" s="3">
        <v>63</v>
      </c>
      <c r="X46" s="3">
        <v>7</v>
      </c>
      <c r="Y46" s="3">
        <v>1</v>
      </c>
      <c r="Z46" s="4">
        <f t="shared" si="5"/>
        <v>193</v>
      </c>
    </row>
    <row r="47" spans="10:26" x14ac:dyDescent="0.2">
      <c r="J47" s="2" t="s">
        <v>296</v>
      </c>
      <c r="K47" s="2" t="s">
        <v>297</v>
      </c>
      <c r="L47" s="3">
        <v>38</v>
      </c>
      <c r="M47" s="3">
        <v>44</v>
      </c>
      <c r="N47" s="3">
        <v>76</v>
      </c>
      <c r="O47" s="3">
        <v>64</v>
      </c>
      <c r="P47" s="3">
        <v>56</v>
      </c>
      <c r="Q47" s="4">
        <f t="shared" si="4"/>
        <v>278</v>
      </c>
      <c r="S47" s="2" t="s">
        <v>298</v>
      </c>
      <c r="T47" s="2" t="s">
        <v>299</v>
      </c>
      <c r="U47" s="3">
        <v>64</v>
      </c>
      <c r="V47" s="3">
        <v>66</v>
      </c>
      <c r="W47" s="3">
        <v>48</v>
      </c>
      <c r="X47" s="3">
        <v>1</v>
      </c>
      <c r="Y47" s="3">
        <v>69</v>
      </c>
      <c r="Z47" s="4">
        <f t="shared" si="5"/>
        <v>248</v>
      </c>
    </row>
    <row r="48" spans="10:26" x14ac:dyDescent="0.2">
      <c r="J48" s="2" t="s">
        <v>300</v>
      </c>
      <c r="K48" s="2" t="s">
        <v>301</v>
      </c>
      <c r="L48" s="3">
        <v>14</v>
      </c>
      <c r="M48" s="3">
        <v>54</v>
      </c>
      <c r="N48" s="3">
        <v>35</v>
      </c>
      <c r="O48" s="3">
        <v>87</v>
      </c>
      <c r="P48" s="3">
        <v>60</v>
      </c>
      <c r="Q48" s="4">
        <f t="shared" si="4"/>
        <v>250</v>
      </c>
      <c r="S48" s="2" t="s">
        <v>302</v>
      </c>
      <c r="T48" s="2" t="s">
        <v>303</v>
      </c>
      <c r="U48" s="3">
        <v>20</v>
      </c>
      <c r="V48" s="3">
        <v>50</v>
      </c>
      <c r="W48" s="3">
        <v>6</v>
      </c>
      <c r="X48" s="3">
        <v>16</v>
      </c>
      <c r="Y48" s="3">
        <v>65</v>
      </c>
      <c r="Z48" s="4">
        <f t="shared" si="5"/>
        <v>157</v>
      </c>
    </row>
    <row r="49" spans="10:26" x14ac:dyDescent="0.2">
      <c r="J49" s="2" t="s">
        <v>304</v>
      </c>
      <c r="K49" s="2" t="s">
        <v>305</v>
      </c>
      <c r="L49" s="3">
        <v>24</v>
      </c>
      <c r="M49" s="3">
        <v>79</v>
      </c>
      <c r="N49" s="3">
        <v>81</v>
      </c>
      <c r="O49" s="3">
        <v>89</v>
      </c>
      <c r="P49" s="3">
        <v>46</v>
      </c>
      <c r="Q49" s="4">
        <f t="shared" si="4"/>
        <v>319</v>
      </c>
      <c r="S49" s="2" t="s">
        <v>306</v>
      </c>
      <c r="T49" s="2" t="s">
        <v>307</v>
      </c>
      <c r="U49" s="3">
        <v>84</v>
      </c>
      <c r="V49" s="3">
        <v>4</v>
      </c>
      <c r="W49" s="3">
        <v>79</v>
      </c>
      <c r="X49" s="3">
        <v>10</v>
      </c>
      <c r="Y49" s="3">
        <v>63</v>
      </c>
      <c r="Z49" s="4">
        <f t="shared" si="5"/>
        <v>240</v>
      </c>
    </row>
    <row r="50" spans="10:26" x14ac:dyDescent="0.2">
      <c r="J50" s="2" t="s">
        <v>308</v>
      </c>
      <c r="K50" s="2" t="s">
        <v>309</v>
      </c>
      <c r="L50" s="3">
        <v>88</v>
      </c>
      <c r="M50" s="3">
        <v>6</v>
      </c>
      <c r="N50" s="3">
        <v>85</v>
      </c>
      <c r="O50" s="3">
        <v>89</v>
      </c>
      <c r="P50" s="3">
        <v>40</v>
      </c>
      <c r="Q50" s="4">
        <f t="shared" si="4"/>
        <v>308</v>
      </c>
      <c r="S50" s="2" t="s">
        <v>310</v>
      </c>
      <c r="T50" s="2" t="s">
        <v>311</v>
      </c>
      <c r="U50" s="3">
        <v>38</v>
      </c>
      <c r="V50" s="3">
        <v>2</v>
      </c>
      <c r="W50" s="3">
        <v>8</v>
      </c>
      <c r="X50" s="3">
        <v>73</v>
      </c>
      <c r="Y50" s="3">
        <v>72</v>
      </c>
      <c r="Z50" s="4">
        <f t="shared" si="5"/>
        <v>193</v>
      </c>
    </row>
    <row r="51" spans="10:26" x14ac:dyDescent="0.2">
      <c r="J51" s="2" t="s">
        <v>312</v>
      </c>
      <c r="K51" s="2" t="s">
        <v>313</v>
      </c>
      <c r="L51" s="3">
        <v>72</v>
      </c>
      <c r="M51" s="3">
        <v>24</v>
      </c>
      <c r="N51" s="3">
        <v>16</v>
      </c>
      <c r="O51" s="3">
        <v>69</v>
      </c>
      <c r="P51" s="3">
        <v>27</v>
      </c>
      <c r="Q51" s="4">
        <f t="shared" si="4"/>
        <v>208</v>
      </c>
      <c r="S51" s="2" t="s">
        <v>314</v>
      </c>
      <c r="T51" s="2" t="s">
        <v>315</v>
      </c>
      <c r="U51" s="3">
        <v>71</v>
      </c>
      <c r="V51" s="3">
        <v>61</v>
      </c>
      <c r="W51" s="3">
        <v>68</v>
      </c>
      <c r="X51" s="3">
        <v>17</v>
      </c>
      <c r="Y51" s="3">
        <v>28</v>
      </c>
      <c r="Z51" s="4">
        <f t="shared" si="5"/>
        <v>245</v>
      </c>
    </row>
    <row r="52" spans="10:26" x14ac:dyDescent="0.2">
      <c r="J52" s="2" t="s">
        <v>316</v>
      </c>
      <c r="K52" s="2" t="s">
        <v>317</v>
      </c>
      <c r="L52" s="3">
        <v>79</v>
      </c>
      <c r="M52" s="3">
        <v>58</v>
      </c>
      <c r="N52" s="3">
        <v>67</v>
      </c>
      <c r="O52" s="3">
        <v>6</v>
      </c>
      <c r="P52" s="3">
        <v>71</v>
      </c>
      <c r="Q52" s="4">
        <f t="shared" si="4"/>
        <v>281</v>
      </c>
      <c r="S52" s="2" t="s">
        <v>318</v>
      </c>
      <c r="T52" s="2" t="s">
        <v>319</v>
      </c>
      <c r="U52" s="3">
        <v>4</v>
      </c>
      <c r="V52" s="3">
        <v>24</v>
      </c>
      <c r="W52" s="3">
        <v>80</v>
      </c>
      <c r="X52" s="3">
        <v>45</v>
      </c>
      <c r="Y52" s="3">
        <v>60</v>
      </c>
      <c r="Z52" s="4">
        <f t="shared" si="5"/>
        <v>213</v>
      </c>
    </row>
    <row r="53" spans="10:26" x14ac:dyDescent="0.2">
      <c r="J53" s="2" t="s">
        <v>320</v>
      </c>
      <c r="K53" s="2" t="s">
        <v>321</v>
      </c>
      <c r="L53" s="3">
        <v>52</v>
      </c>
      <c r="M53" s="3">
        <v>61</v>
      </c>
      <c r="N53" s="3">
        <v>20</v>
      </c>
      <c r="O53" s="3">
        <v>33</v>
      </c>
      <c r="P53" s="3">
        <v>46</v>
      </c>
      <c r="Q53" s="4">
        <f t="shared" si="4"/>
        <v>212</v>
      </c>
      <c r="S53" s="2" t="s">
        <v>322</v>
      </c>
      <c r="T53" s="2" t="s">
        <v>323</v>
      </c>
      <c r="U53" s="3">
        <v>36</v>
      </c>
      <c r="V53" s="3">
        <v>67</v>
      </c>
      <c r="W53" s="3">
        <v>37</v>
      </c>
      <c r="X53" s="3">
        <v>58</v>
      </c>
      <c r="Y53" s="3">
        <v>87</v>
      </c>
      <c r="Z53" s="4">
        <f t="shared" si="5"/>
        <v>285</v>
      </c>
    </row>
    <row r="54" spans="10:26" x14ac:dyDescent="0.2">
      <c r="J54" s="2" t="s">
        <v>324</v>
      </c>
      <c r="K54" s="2" t="s">
        <v>325</v>
      </c>
      <c r="L54" s="3">
        <v>63</v>
      </c>
      <c r="M54" s="3">
        <v>27</v>
      </c>
      <c r="N54" s="3">
        <v>85</v>
      </c>
      <c r="O54" s="3">
        <v>32</v>
      </c>
      <c r="P54" s="3">
        <v>46</v>
      </c>
      <c r="Q54" s="4">
        <f t="shared" si="4"/>
        <v>253</v>
      </c>
      <c r="S54" s="2" t="s">
        <v>326</v>
      </c>
      <c r="T54" s="2" t="s">
        <v>327</v>
      </c>
      <c r="U54" s="3">
        <v>29</v>
      </c>
      <c r="V54" s="3">
        <v>38</v>
      </c>
      <c r="W54" s="3">
        <v>57</v>
      </c>
      <c r="X54" s="3">
        <v>90</v>
      </c>
      <c r="Y54" s="3">
        <v>31</v>
      </c>
      <c r="Z54" s="4">
        <f t="shared" si="5"/>
        <v>245</v>
      </c>
    </row>
  </sheetData>
  <mergeCells count="4">
    <mergeCell ref="J1:Q1"/>
    <mergeCell ref="S1:Z1"/>
    <mergeCell ref="AB1:AI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"/>
  <sheetViews>
    <sheetView topLeftCell="B1" zoomScale="200" zoomScaleNormal="200" workbookViewId="0">
      <pane ySplit="2" topLeftCell="A28" activePane="bottomLeft" state="frozen"/>
      <selection pane="bottomLeft" activeCell="P34" sqref="P34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7" customWidth="1"/>
    <col min="8" max="8" width="10" customWidth="1"/>
  </cols>
  <sheetData>
    <row r="1" spans="1:20" ht="26" customHeight="1" x14ac:dyDescent="0.2">
      <c r="A1" s="23" t="s">
        <v>0</v>
      </c>
      <c r="B1" s="16"/>
      <c r="C1" s="16"/>
      <c r="D1" s="16"/>
      <c r="E1" s="16"/>
      <c r="F1" s="16"/>
      <c r="G1" s="16"/>
      <c r="H1" s="16"/>
      <c r="M1" s="23" t="s">
        <v>0</v>
      </c>
      <c r="N1" s="16"/>
      <c r="O1" s="16"/>
      <c r="P1" s="16"/>
      <c r="Q1" s="16"/>
      <c r="R1" s="16"/>
      <c r="S1" s="16"/>
      <c r="T1" s="16"/>
    </row>
    <row r="2" spans="1:20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</row>
    <row r="3" spans="1:20" x14ac:dyDescent="0.2">
      <c r="A3" s="2" t="s">
        <v>12</v>
      </c>
      <c r="B3" s="2" t="s">
        <v>13</v>
      </c>
      <c r="C3" s="3">
        <v>42</v>
      </c>
      <c r="D3" s="3">
        <v>7</v>
      </c>
      <c r="E3" s="3">
        <v>79</v>
      </c>
      <c r="F3" s="3">
        <v>24</v>
      </c>
      <c r="G3" s="3">
        <v>57</v>
      </c>
      <c r="H3" s="4">
        <f t="shared" ref="H3:H29" si="0">SUM(C3:G3)</f>
        <v>209</v>
      </c>
      <c r="M3" s="2" t="s">
        <v>12</v>
      </c>
      <c r="N3" s="2" t="s">
        <v>13</v>
      </c>
      <c r="O3" s="3">
        <v>42</v>
      </c>
      <c r="P3" s="3">
        <v>7</v>
      </c>
      <c r="Q3" s="3">
        <v>79</v>
      </c>
      <c r="R3" s="3">
        <v>24</v>
      </c>
      <c r="S3" s="3">
        <v>57</v>
      </c>
      <c r="T3" s="4">
        <f t="shared" ref="T3:T29" si="1">SUM(O3:S3)</f>
        <v>209</v>
      </c>
    </row>
    <row r="4" spans="1:20" x14ac:dyDescent="0.2">
      <c r="A4" s="2" t="s">
        <v>20</v>
      </c>
      <c r="B4" s="2" t="s">
        <v>21</v>
      </c>
      <c r="C4" s="3">
        <v>17</v>
      </c>
      <c r="D4" s="3">
        <v>75</v>
      </c>
      <c r="E4" s="3">
        <v>11</v>
      </c>
      <c r="F4" s="3">
        <v>82</v>
      </c>
      <c r="G4" s="3">
        <v>23</v>
      </c>
      <c r="H4" s="4">
        <f t="shared" si="0"/>
        <v>208</v>
      </c>
      <c r="M4" s="2" t="s">
        <v>20</v>
      </c>
      <c r="N4" s="2" t="s">
        <v>21</v>
      </c>
      <c r="O4" s="3">
        <v>17</v>
      </c>
      <c r="P4" s="3">
        <v>75</v>
      </c>
      <c r="Q4" s="3">
        <v>11</v>
      </c>
      <c r="R4" s="3">
        <v>82</v>
      </c>
      <c r="S4" s="3">
        <v>23</v>
      </c>
      <c r="T4" s="4">
        <f t="shared" si="1"/>
        <v>208</v>
      </c>
    </row>
    <row r="5" spans="1:20" x14ac:dyDescent="0.2">
      <c r="A5" s="2" t="s">
        <v>28</v>
      </c>
      <c r="B5" s="2" t="s">
        <v>29</v>
      </c>
      <c r="C5" s="3">
        <v>13</v>
      </c>
      <c r="D5" s="3">
        <v>76</v>
      </c>
      <c r="E5" s="3">
        <v>53</v>
      </c>
      <c r="F5" s="3">
        <v>57</v>
      </c>
      <c r="G5" s="3">
        <v>68</v>
      </c>
      <c r="H5" s="4">
        <f t="shared" si="0"/>
        <v>267</v>
      </c>
      <c r="M5" s="2" t="s">
        <v>28</v>
      </c>
      <c r="N5" s="2" t="s">
        <v>29</v>
      </c>
      <c r="O5" s="3">
        <v>13</v>
      </c>
      <c r="P5" s="3">
        <v>76</v>
      </c>
      <c r="Q5" s="3">
        <v>53</v>
      </c>
      <c r="R5" s="3">
        <v>57</v>
      </c>
      <c r="S5" s="3">
        <v>68</v>
      </c>
      <c r="T5" s="4">
        <f t="shared" si="1"/>
        <v>267</v>
      </c>
    </row>
    <row r="6" spans="1:20" x14ac:dyDescent="0.2">
      <c r="A6" s="2" t="s">
        <v>36</v>
      </c>
      <c r="B6" s="2" t="s">
        <v>37</v>
      </c>
      <c r="C6" s="3">
        <v>18</v>
      </c>
      <c r="D6" s="3">
        <v>26</v>
      </c>
      <c r="E6" s="3">
        <v>68</v>
      </c>
      <c r="F6" s="3">
        <v>54</v>
      </c>
      <c r="G6" s="3">
        <v>64</v>
      </c>
      <c r="H6" s="4">
        <f t="shared" si="0"/>
        <v>230</v>
      </c>
      <c r="M6" s="2" t="s">
        <v>36</v>
      </c>
      <c r="N6" s="2" t="s">
        <v>37</v>
      </c>
      <c r="O6" s="3">
        <v>18</v>
      </c>
      <c r="P6" s="3">
        <v>26</v>
      </c>
      <c r="Q6" s="3">
        <v>68</v>
      </c>
      <c r="R6" s="3">
        <v>54</v>
      </c>
      <c r="S6" s="3">
        <v>64</v>
      </c>
      <c r="T6" s="4">
        <f t="shared" si="1"/>
        <v>230</v>
      </c>
    </row>
    <row r="7" spans="1:20" x14ac:dyDescent="0.2">
      <c r="A7" s="2" t="s">
        <v>44</v>
      </c>
      <c r="B7" s="2" t="s">
        <v>45</v>
      </c>
      <c r="C7" s="3">
        <v>49</v>
      </c>
      <c r="D7" s="3">
        <v>77</v>
      </c>
      <c r="E7" s="3">
        <v>41</v>
      </c>
      <c r="F7" s="3">
        <v>5</v>
      </c>
      <c r="G7" s="3">
        <v>70</v>
      </c>
      <c r="H7" s="4">
        <f t="shared" si="0"/>
        <v>242</v>
      </c>
      <c r="M7" s="2" t="s">
        <v>44</v>
      </c>
      <c r="N7" s="2" t="s">
        <v>45</v>
      </c>
      <c r="O7" s="3">
        <v>49</v>
      </c>
      <c r="P7" s="3">
        <v>77</v>
      </c>
      <c r="Q7" s="3">
        <v>41</v>
      </c>
      <c r="R7" s="3">
        <v>5</v>
      </c>
      <c r="S7" s="3">
        <v>70</v>
      </c>
      <c r="T7" s="4">
        <f t="shared" si="1"/>
        <v>242</v>
      </c>
    </row>
    <row r="8" spans="1:20" x14ac:dyDescent="0.2">
      <c r="A8" s="2" t="s">
        <v>52</v>
      </c>
      <c r="B8" s="2" t="s">
        <v>53</v>
      </c>
      <c r="C8" s="3">
        <v>45</v>
      </c>
      <c r="D8" s="3">
        <v>16</v>
      </c>
      <c r="E8" s="3">
        <v>9</v>
      </c>
      <c r="F8" s="3">
        <v>11</v>
      </c>
      <c r="G8" s="3">
        <v>15</v>
      </c>
      <c r="H8" s="4">
        <f t="shared" si="0"/>
        <v>96</v>
      </c>
      <c r="M8" s="2" t="s">
        <v>52</v>
      </c>
      <c r="N8" s="2" t="s">
        <v>53</v>
      </c>
      <c r="O8" s="3">
        <v>45</v>
      </c>
      <c r="P8" s="3">
        <v>16</v>
      </c>
      <c r="Q8" s="3">
        <v>9</v>
      </c>
      <c r="R8" s="3">
        <v>11</v>
      </c>
      <c r="S8" s="3">
        <v>15</v>
      </c>
      <c r="T8" s="4">
        <f t="shared" si="1"/>
        <v>96</v>
      </c>
    </row>
    <row r="9" spans="1:20" x14ac:dyDescent="0.2">
      <c r="A9" s="2" t="s">
        <v>60</v>
      </c>
      <c r="B9" s="2" t="s">
        <v>61</v>
      </c>
      <c r="C9" s="3">
        <v>30</v>
      </c>
      <c r="D9" s="3">
        <v>39</v>
      </c>
      <c r="E9" s="3">
        <v>43</v>
      </c>
      <c r="F9" s="3">
        <v>86</v>
      </c>
      <c r="G9" s="3">
        <v>15</v>
      </c>
      <c r="H9" s="4">
        <f t="shared" si="0"/>
        <v>213</v>
      </c>
      <c r="M9" s="2" t="s">
        <v>60</v>
      </c>
      <c r="N9" s="2" t="s">
        <v>61</v>
      </c>
      <c r="O9" s="3">
        <v>30</v>
      </c>
      <c r="P9" s="3">
        <v>39</v>
      </c>
      <c r="Q9" s="3">
        <v>43</v>
      </c>
      <c r="R9" s="3">
        <v>86</v>
      </c>
      <c r="S9" s="3">
        <v>15</v>
      </c>
      <c r="T9" s="4">
        <f t="shared" si="1"/>
        <v>213</v>
      </c>
    </row>
    <row r="10" spans="1:20" x14ac:dyDescent="0.2">
      <c r="A10" s="2" t="s">
        <v>68</v>
      </c>
      <c r="B10" s="2" t="s">
        <v>69</v>
      </c>
      <c r="C10" s="3">
        <v>10</v>
      </c>
      <c r="D10" s="3">
        <v>72</v>
      </c>
      <c r="E10" s="3">
        <v>5</v>
      </c>
      <c r="F10" s="3">
        <v>54</v>
      </c>
      <c r="G10" s="3">
        <v>38</v>
      </c>
      <c r="H10" s="4">
        <f t="shared" si="0"/>
        <v>179</v>
      </c>
      <c r="M10" s="2" t="s">
        <v>68</v>
      </c>
      <c r="N10" s="2" t="s">
        <v>69</v>
      </c>
      <c r="O10" s="3">
        <v>10</v>
      </c>
      <c r="P10" s="3">
        <v>72</v>
      </c>
      <c r="Q10" s="3">
        <v>5</v>
      </c>
      <c r="R10" s="3">
        <v>54</v>
      </c>
      <c r="S10" s="3">
        <v>38</v>
      </c>
      <c r="T10" s="4">
        <f t="shared" si="1"/>
        <v>179</v>
      </c>
    </row>
    <row r="11" spans="1:20" x14ac:dyDescent="0.2">
      <c r="A11" s="2" t="s">
        <v>76</v>
      </c>
      <c r="B11" s="2" t="s">
        <v>77</v>
      </c>
      <c r="C11" s="3">
        <v>67</v>
      </c>
      <c r="D11" s="3">
        <v>76</v>
      </c>
      <c r="E11" s="3">
        <v>47</v>
      </c>
      <c r="F11" s="3">
        <v>60</v>
      </c>
      <c r="G11" s="3">
        <v>18</v>
      </c>
      <c r="H11" s="4">
        <f t="shared" si="0"/>
        <v>268</v>
      </c>
      <c r="M11" s="2" t="s">
        <v>76</v>
      </c>
      <c r="N11" s="2" t="s">
        <v>77</v>
      </c>
      <c r="O11" s="3">
        <v>67</v>
      </c>
      <c r="P11" s="3">
        <v>76</v>
      </c>
      <c r="Q11" s="3">
        <v>47</v>
      </c>
      <c r="R11" s="3">
        <v>60</v>
      </c>
      <c r="S11" s="3">
        <v>18</v>
      </c>
      <c r="T11" s="4">
        <f t="shared" si="1"/>
        <v>268</v>
      </c>
    </row>
    <row r="12" spans="1:20" x14ac:dyDescent="0.2">
      <c r="A12" s="2" t="s">
        <v>84</v>
      </c>
      <c r="B12" s="2" t="s">
        <v>85</v>
      </c>
      <c r="C12" s="3">
        <v>70</v>
      </c>
      <c r="D12" s="3">
        <v>24</v>
      </c>
      <c r="E12" s="3">
        <v>8</v>
      </c>
      <c r="F12" s="3">
        <v>43</v>
      </c>
      <c r="G12" s="3">
        <v>28</v>
      </c>
      <c r="H12" s="4">
        <f t="shared" si="0"/>
        <v>173</v>
      </c>
      <c r="M12" s="2" t="s">
        <v>84</v>
      </c>
      <c r="N12" s="2" t="s">
        <v>85</v>
      </c>
      <c r="O12" s="3">
        <v>70</v>
      </c>
      <c r="P12" s="3">
        <v>24</v>
      </c>
      <c r="Q12" s="3">
        <v>8</v>
      </c>
      <c r="R12" s="3">
        <v>43</v>
      </c>
      <c r="S12" s="3">
        <v>28</v>
      </c>
      <c r="T12" s="4">
        <f t="shared" si="1"/>
        <v>173</v>
      </c>
    </row>
    <row r="13" spans="1:20" x14ac:dyDescent="0.2">
      <c r="A13" s="2" t="s">
        <v>92</v>
      </c>
      <c r="B13" s="2" t="s">
        <v>93</v>
      </c>
      <c r="C13" s="3">
        <v>32</v>
      </c>
      <c r="D13" s="3">
        <v>31</v>
      </c>
      <c r="E13" s="3">
        <v>55</v>
      </c>
      <c r="F13" s="3">
        <v>83</v>
      </c>
      <c r="G13" s="3">
        <v>45</v>
      </c>
      <c r="H13" s="4">
        <f t="shared" si="0"/>
        <v>246</v>
      </c>
      <c r="M13" s="2" t="s">
        <v>92</v>
      </c>
      <c r="N13" s="2" t="s">
        <v>93</v>
      </c>
      <c r="O13" s="3">
        <v>32</v>
      </c>
      <c r="P13" s="3">
        <v>31</v>
      </c>
      <c r="Q13" s="3">
        <v>55</v>
      </c>
      <c r="R13" s="3">
        <v>83</v>
      </c>
      <c r="S13" s="3">
        <v>45</v>
      </c>
      <c r="T13" s="4">
        <f t="shared" si="1"/>
        <v>246</v>
      </c>
    </row>
    <row r="14" spans="1:20" x14ac:dyDescent="0.2">
      <c r="A14" s="2" t="s">
        <v>100</v>
      </c>
      <c r="B14" s="2" t="s">
        <v>101</v>
      </c>
      <c r="C14" s="3">
        <v>1</v>
      </c>
      <c r="D14" s="3">
        <v>12</v>
      </c>
      <c r="E14" s="3">
        <v>81</v>
      </c>
      <c r="F14" s="3">
        <v>35</v>
      </c>
      <c r="G14" s="3">
        <v>62</v>
      </c>
      <c r="H14" s="4">
        <f t="shared" si="0"/>
        <v>191</v>
      </c>
      <c r="M14" s="2" t="s">
        <v>100</v>
      </c>
      <c r="N14" s="2" t="s">
        <v>101</v>
      </c>
      <c r="O14" s="3">
        <v>1</v>
      </c>
      <c r="P14" s="3">
        <v>12</v>
      </c>
      <c r="Q14" s="3">
        <v>81</v>
      </c>
      <c r="R14" s="3">
        <v>35</v>
      </c>
      <c r="S14" s="3">
        <v>62</v>
      </c>
      <c r="T14" s="4">
        <f t="shared" si="1"/>
        <v>191</v>
      </c>
    </row>
    <row r="15" spans="1:20" x14ac:dyDescent="0.2">
      <c r="A15" s="2" t="s">
        <v>108</v>
      </c>
      <c r="B15" s="2" t="s">
        <v>109</v>
      </c>
      <c r="C15" s="3">
        <v>67</v>
      </c>
      <c r="D15" s="3">
        <v>44</v>
      </c>
      <c r="E15" s="3">
        <v>63</v>
      </c>
      <c r="F15" s="3">
        <v>33</v>
      </c>
      <c r="G15" s="3">
        <v>54</v>
      </c>
      <c r="H15" s="4">
        <f t="shared" si="0"/>
        <v>261</v>
      </c>
      <c r="M15" s="2" t="s">
        <v>108</v>
      </c>
      <c r="N15" s="2" t="s">
        <v>109</v>
      </c>
      <c r="O15" s="3">
        <v>67</v>
      </c>
      <c r="P15" s="3">
        <v>44</v>
      </c>
      <c r="Q15" s="3">
        <v>63</v>
      </c>
      <c r="R15" s="3">
        <v>33</v>
      </c>
      <c r="S15" s="3">
        <v>54</v>
      </c>
      <c r="T15" s="4">
        <f t="shared" si="1"/>
        <v>261</v>
      </c>
    </row>
    <row r="16" spans="1:20" x14ac:dyDescent="0.2">
      <c r="A16" s="2" t="s">
        <v>116</v>
      </c>
      <c r="B16" s="2" t="s">
        <v>117</v>
      </c>
      <c r="C16" s="3">
        <v>3</v>
      </c>
      <c r="D16" s="3">
        <v>71</v>
      </c>
      <c r="E16" s="3">
        <v>26</v>
      </c>
      <c r="F16" s="3">
        <v>4</v>
      </c>
      <c r="G16" s="3">
        <v>82</v>
      </c>
      <c r="H16" s="4">
        <f t="shared" si="0"/>
        <v>186</v>
      </c>
      <c r="M16" s="2" t="s">
        <v>116</v>
      </c>
      <c r="N16" s="2" t="s">
        <v>117</v>
      </c>
      <c r="O16" s="3">
        <v>3</v>
      </c>
      <c r="P16" s="3">
        <v>71</v>
      </c>
      <c r="Q16" s="3">
        <v>26</v>
      </c>
      <c r="R16" s="3">
        <v>4</v>
      </c>
      <c r="S16" s="3">
        <v>82</v>
      </c>
      <c r="T16" s="4">
        <f t="shared" si="1"/>
        <v>186</v>
      </c>
    </row>
    <row r="17" spans="1:20" x14ac:dyDescent="0.2">
      <c r="A17" s="2" t="s">
        <v>124</v>
      </c>
      <c r="B17" s="2" t="s">
        <v>125</v>
      </c>
      <c r="C17" s="3">
        <v>46</v>
      </c>
      <c r="D17" s="3">
        <v>36</v>
      </c>
      <c r="E17" s="3">
        <v>3</v>
      </c>
      <c r="F17" s="3">
        <v>27</v>
      </c>
      <c r="G17" s="3">
        <v>73</v>
      </c>
      <c r="H17" s="4">
        <f t="shared" si="0"/>
        <v>185</v>
      </c>
      <c r="M17" s="2" t="s">
        <v>124</v>
      </c>
      <c r="N17" s="2" t="s">
        <v>125</v>
      </c>
      <c r="O17" s="3">
        <v>46</v>
      </c>
      <c r="P17" s="3">
        <v>36</v>
      </c>
      <c r="Q17" s="3">
        <v>3</v>
      </c>
      <c r="R17" s="3">
        <v>27</v>
      </c>
      <c r="S17" s="3">
        <v>73</v>
      </c>
      <c r="T17" s="4">
        <f t="shared" si="1"/>
        <v>185</v>
      </c>
    </row>
    <row r="18" spans="1:20" x14ac:dyDescent="0.2">
      <c r="A18" s="2" t="s">
        <v>132</v>
      </c>
      <c r="B18" s="2" t="s">
        <v>133</v>
      </c>
      <c r="C18" s="3">
        <v>43</v>
      </c>
      <c r="D18" s="3">
        <v>47</v>
      </c>
      <c r="E18" s="3">
        <v>3</v>
      </c>
      <c r="F18" s="3">
        <v>50</v>
      </c>
      <c r="G18" s="3">
        <v>56</v>
      </c>
      <c r="H18" s="4">
        <f t="shared" si="0"/>
        <v>199</v>
      </c>
      <c r="M18" s="2" t="s">
        <v>132</v>
      </c>
      <c r="N18" s="2" t="s">
        <v>133</v>
      </c>
      <c r="O18" s="3">
        <v>43</v>
      </c>
      <c r="P18" s="3">
        <v>47</v>
      </c>
      <c r="Q18" s="3">
        <v>3</v>
      </c>
      <c r="R18" s="3">
        <v>50</v>
      </c>
      <c r="S18" s="3">
        <v>56</v>
      </c>
      <c r="T18" s="4">
        <f t="shared" si="1"/>
        <v>199</v>
      </c>
    </row>
    <row r="19" spans="1:20" x14ac:dyDescent="0.2">
      <c r="A19" s="2" t="s">
        <v>140</v>
      </c>
      <c r="B19" s="2" t="s">
        <v>141</v>
      </c>
      <c r="C19" s="3">
        <v>12</v>
      </c>
      <c r="D19" s="3">
        <v>77</v>
      </c>
      <c r="E19" s="3">
        <v>28</v>
      </c>
      <c r="F19" s="3">
        <v>54</v>
      </c>
      <c r="G19" s="3">
        <v>86</v>
      </c>
      <c r="H19" s="4">
        <f t="shared" si="0"/>
        <v>257</v>
      </c>
      <c r="M19" s="2" t="s">
        <v>140</v>
      </c>
      <c r="N19" s="2" t="s">
        <v>141</v>
      </c>
      <c r="O19" s="3">
        <v>12</v>
      </c>
      <c r="P19" s="3">
        <v>77</v>
      </c>
      <c r="Q19" s="3">
        <v>28</v>
      </c>
      <c r="R19" s="3">
        <v>54</v>
      </c>
      <c r="S19" s="3">
        <v>86</v>
      </c>
      <c r="T19" s="4">
        <f t="shared" si="1"/>
        <v>257</v>
      </c>
    </row>
    <row r="20" spans="1:20" x14ac:dyDescent="0.2">
      <c r="A20" s="2" t="s">
        <v>148</v>
      </c>
      <c r="B20" s="2" t="s">
        <v>149</v>
      </c>
      <c r="C20" s="3">
        <v>54</v>
      </c>
      <c r="D20" s="3">
        <v>73</v>
      </c>
      <c r="E20" s="3">
        <v>60</v>
      </c>
      <c r="F20" s="3">
        <v>5</v>
      </c>
      <c r="G20" s="3">
        <v>56</v>
      </c>
      <c r="H20" s="4">
        <f t="shared" si="0"/>
        <v>248</v>
      </c>
      <c r="M20" s="2" t="s">
        <v>148</v>
      </c>
      <c r="N20" s="2" t="s">
        <v>149</v>
      </c>
      <c r="O20" s="3">
        <v>54</v>
      </c>
      <c r="P20" s="3">
        <v>73</v>
      </c>
      <c r="Q20" s="3">
        <v>60</v>
      </c>
      <c r="R20" s="3">
        <v>5</v>
      </c>
      <c r="S20" s="3">
        <v>56</v>
      </c>
      <c r="T20" s="4">
        <f t="shared" si="1"/>
        <v>248</v>
      </c>
    </row>
    <row r="21" spans="1:20" x14ac:dyDescent="0.2">
      <c r="A21" s="2" t="s">
        <v>156</v>
      </c>
      <c r="B21" s="2" t="s">
        <v>157</v>
      </c>
      <c r="C21" s="3">
        <v>55</v>
      </c>
      <c r="D21" s="3">
        <v>73</v>
      </c>
      <c r="E21" s="3">
        <v>11</v>
      </c>
      <c r="F21" s="3">
        <v>51</v>
      </c>
      <c r="G21" s="3">
        <v>39</v>
      </c>
      <c r="H21" s="4">
        <f t="shared" si="0"/>
        <v>229</v>
      </c>
      <c r="M21" s="2" t="s">
        <v>156</v>
      </c>
      <c r="N21" s="2" t="s">
        <v>157</v>
      </c>
      <c r="O21" s="3">
        <v>55</v>
      </c>
      <c r="P21" s="3">
        <v>73</v>
      </c>
      <c r="Q21" s="3">
        <v>11</v>
      </c>
      <c r="R21" s="3">
        <v>51</v>
      </c>
      <c r="S21" s="3">
        <v>39</v>
      </c>
      <c r="T21" s="4">
        <f t="shared" si="1"/>
        <v>229</v>
      </c>
    </row>
    <row r="22" spans="1:20" x14ac:dyDescent="0.2">
      <c r="A22" s="2" t="s">
        <v>164</v>
      </c>
      <c r="B22" s="2" t="s">
        <v>165</v>
      </c>
      <c r="C22" s="3">
        <v>22</v>
      </c>
      <c r="D22" s="3">
        <v>29</v>
      </c>
      <c r="E22" s="3">
        <v>3</v>
      </c>
      <c r="F22" s="3">
        <v>4</v>
      </c>
      <c r="G22" s="3">
        <v>18</v>
      </c>
      <c r="H22" s="4">
        <f t="shared" si="0"/>
        <v>76</v>
      </c>
      <c r="M22" s="2" t="s">
        <v>164</v>
      </c>
      <c r="N22" s="2" t="s">
        <v>165</v>
      </c>
      <c r="O22" s="3">
        <v>22</v>
      </c>
      <c r="P22" s="3">
        <v>29</v>
      </c>
      <c r="Q22" s="3">
        <v>3</v>
      </c>
      <c r="R22" s="3">
        <v>4</v>
      </c>
      <c r="S22" s="3">
        <v>18</v>
      </c>
      <c r="T22" s="4">
        <f t="shared" si="1"/>
        <v>76</v>
      </c>
    </row>
    <row r="23" spans="1:20" x14ac:dyDescent="0.2">
      <c r="A23" s="2" t="s">
        <v>172</v>
      </c>
      <c r="B23" s="2" t="s">
        <v>173</v>
      </c>
      <c r="C23" s="3">
        <v>73</v>
      </c>
      <c r="D23" s="3">
        <v>39</v>
      </c>
      <c r="E23" s="3">
        <v>48</v>
      </c>
      <c r="F23" s="3">
        <v>59</v>
      </c>
      <c r="G23" s="3">
        <v>18</v>
      </c>
      <c r="H23" s="4">
        <f t="shared" si="0"/>
        <v>237</v>
      </c>
      <c r="M23" s="2" t="s">
        <v>172</v>
      </c>
      <c r="N23" s="2" t="s">
        <v>173</v>
      </c>
      <c r="O23" s="3">
        <v>73</v>
      </c>
      <c r="P23" s="3">
        <v>39</v>
      </c>
      <c r="Q23" s="3">
        <v>48</v>
      </c>
      <c r="R23" s="3">
        <v>59</v>
      </c>
      <c r="S23" s="3">
        <v>18</v>
      </c>
      <c r="T23" s="4">
        <f t="shared" si="1"/>
        <v>237</v>
      </c>
    </row>
    <row r="24" spans="1:20" x14ac:dyDescent="0.2">
      <c r="A24" s="2" t="s">
        <v>180</v>
      </c>
      <c r="B24" s="2" t="s">
        <v>181</v>
      </c>
      <c r="C24" s="3">
        <v>14</v>
      </c>
      <c r="D24" s="3">
        <v>40</v>
      </c>
      <c r="E24" s="3">
        <v>23</v>
      </c>
      <c r="F24" s="3">
        <v>19</v>
      </c>
      <c r="G24" s="3">
        <v>86</v>
      </c>
      <c r="H24" s="4">
        <f t="shared" si="0"/>
        <v>182</v>
      </c>
      <c r="M24" s="2" t="s">
        <v>180</v>
      </c>
      <c r="N24" s="2" t="s">
        <v>181</v>
      </c>
      <c r="O24" s="3">
        <v>14</v>
      </c>
      <c r="P24" s="3">
        <v>40</v>
      </c>
      <c r="Q24" s="3">
        <v>23</v>
      </c>
      <c r="R24" s="3">
        <v>19</v>
      </c>
      <c r="S24" s="3">
        <v>86</v>
      </c>
      <c r="T24" s="4">
        <f t="shared" si="1"/>
        <v>182</v>
      </c>
    </row>
    <row r="25" spans="1:20" x14ac:dyDescent="0.2">
      <c r="A25" s="2" t="s">
        <v>188</v>
      </c>
      <c r="B25" s="2" t="s">
        <v>189</v>
      </c>
      <c r="C25" s="3">
        <v>89</v>
      </c>
      <c r="D25" s="3">
        <v>33</v>
      </c>
      <c r="E25" s="3">
        <v>7</v>
      </c>
      <c r="F25" s="3">
        <v>43</v>
      </c>
      <c r="G25" s="3">
        <v>80</v>
      </c>
      <c r="H25" s="4">
        <f t="shared" si="0"/>
        <v>252</v>
      </c>
      <c r="M25" s="2" t="s">
        <v>188</v>
      </c>
      <c r="N25" s="2" t="s">
        <v>189</v>
      </c>
      <c r="O25" s="3">
        <v>89</v>
      </c>
      <c r="P25" s="3">
        <v>33</v>
      </c>
      <c r="Q25" s="3">
        <v>7</v>
      </c>
      <c r="R25" s="3">
        <v>43</v>
      </c>
      <c r="S25" s="3">
        <v>80</v>
      </c>
      <c r="T25" s="4">
        <f t="shared" si="1"/>
        <v>252</v>
      </c>
    </row>
    <row r="26" spans="1:20" x14ac:dyDescent="0.2">
      <c r="A26" s="2" t="s">
        <v>196</v>
      </c>
      <c r="B26" s="2" t="s">
        <v>197</v>
      </c>
      <c r="C26" s="3">
        <v>70</v>
      </c>
      <c r="D26" s="3">
        <v>47</v>
      </c>
      <c r="E26" s="3">
        <v>18</v>
      </c>
      <c r="F26" s="3">
        <v>17</v>
      </c>
      <c r="G26" s="3">
        <v>36</v>
      </c>
      <c r="H26" s="4">
        <f t="shared" si="0"/>
        <v>188</v>
      </c>
      <c r="M26" s="2" t="s">
        <v>196</v>
      </c>
      <c r="N26" s="2" t="s">
        <v>197</v>
      </c>
      <c r="O26" s="3">
        <v>70</v>
      </c>
      <c r="P26" s="3">
        <v>47</v>
      </c>
      <c r="Q26" s="3">
        <v>18</v>
      </c>
      <c r="R26" s="3">
        <v>17</v>
      </c>
      <c r="S26" s="3">
        <v>36</v>
      </c>
      <c r="T26" s="4">
        <f t="shared" si="1"/>
        <v>188</v>
      </c>
    </row>
    <row r="27" spans="1:20" x14ac:dyDescent="0.2">
      <c r="A27" s="2" t="s">
        <v>204</v>
      </c>
      <c r="B27" s="2" t="s">
        <v>205</v>
      </c>
      <c r="C27" s="3">
        <v>22</v>
      </c>
      <c r="D27" s="3">
        <v>20</v>
      </c>
      <c r="E27" s="3">
        <v>24</v>
      </c>
      <c r="F27" s="3">
        <v>63</v>
      </c>
      <c r="G27" s="3">
        <v>58</v>
      </c>
      <c r="H27" s="4">
        <f t="shared" si="0"/>
        <v>187</v>
      </c>
      <c r="M27" s="2" t="s">
        <v>204</v>
      </c>
      <c r="N27" s="2" t="s">
        <v>205</v>
      </c>
      <c r="O27" s="3">
        <v>22</v>
      </c>
      <c r="P27" s="3">
        <v>20</v>
      </c>
      <c r="Q27" s="3">
        <v>24</v>
      </c>
      <c r="R27" s="3">
        <v>63</v>
      </c>
      <c r="S27" s="3">
        <v>58</v>
      </c>
      <c r="T27" s="4">
        <f t="shared" si="1"/>
        <v>187</v>
      </c>
    </row>
    <row r="28" spans="1:20" x14ac:dyDescent="0.2">
      <c r="A28" s="2" t="s">
        <v>212</v>
      </c>
      <c r="B28" s="2" t="s">
        <v>213</v>
      </c>
      <c r="C28" s="3">
        <v>26</v>
      </c>
      <c r="D28" s="3">
        <v>79</v>
      </c>
      <c r="E28" s="3">
        <v>61</v>
      </c>
      <c r="F28" s="3">
        <v>75</v>
      </c>
      <c r="G28" s="3">
        <v>35</v>
      </c>
      <c r="H28" s="4">
        <f t="shared" si="0"/>
        <v>276</v>
      </c>
      <c r="M28" s="2" t="s">
        <v>212</v>
      </c>
      <c r="N28" s="2" t="s">
        <v>213</v>
      </c>
      <c r="O28" s="3">
        <v>26</v>
      </c>
      <c r="P28" s="3">
        <v>79</v>
      </c>
      <c r="Q28" s="3">
        <v>61</v>
      </c>
      <c r="R28" s="3">
        <v>75</v>
      </c>
      <c r="S28" s="3">
        <v>35</v>
      </c>
      <c r="T28" s="4">
        <f t="shared" si="1"/>
        <v>276</v>
      </c>
    </row>
    <row r="29" spans="1:20" x14ac:dyDescent="0.2">
      <c r="A29" s="2" t="s">
        <v>220</v>
      </c>
      <c r="B29" s="2" t="s">
        <v>221</v>
      </c>
      <c r="C29" s="3">
        <v>31</v>
      </c>
      <c r="D29" s="3">
        <v>72</v>
      </c>
      <c r="E29" s="3">
        <v>20</v>
      </c>
      <c r="F29" s="3">
        <v>1</v>
      </c>
      <c r="G29" s="3">
        <v>24</v>
      </c>
      <c r="H29" s="4">
        <f t="shared" si="0"/>
        <v>148</v>
      </c>
      <c r="M29" s="2" t="s">
        <v>220</v>
      </c>
      <c r="N29" s="2" t="s">
        <v>221</v>
      </c>
      <c r="O29" s="3">
        <v>31</v>
      </c>
      <c r="P29" s="3">
        <v>72</v>
      </c>
      <c r="Q29" s="3">
        <v>20</v>
      </c>
      <c r="R29" s="3">
        <v>1</v>
      </c>
      <c r="S29" s="3">
        <v>24</v>
      </c>
      <c r="T29" s="4">
        <f t="shared" si="1"/>
        <v>148</v>
      </c>
    </row>
    <row r="30" spans="1:20" ht="18" x14ac:dyDescent="0.2">
      <c r="M30" s="36">
        <v>511</v>
      </c>
      <c r="N30" s="36" t="s">
        <v>573</v>
      </c>
      <c r="O30" s="36">
        <v>26</v>
      </c>
      <c r="P30" s="36">
        <v>42</v>
      </c>
      <c r="Q30" s="36">
        <v>40</v>
      </c>
      <c r="R30" s="36">
        <v>38</v>
      </c>
      <c r="S30" s="36">
        <v>30</v>
      </c>
      <c r="T30" s="35">
        <f t="shared" ref="T3:T55" si="2">O30+P30+Q30+R30+S30</f>
        <v>176</v>
      </c>
    </row>
    <row r="31" spans="1:20" ht="18" x14ac:dyDescent="0.2">
      <c r="M31" s="34">
        <v>512</v>
      </c>
      <c r="N31" s="34" t="s">
        <v>580</v>
      </c>
      <c r="O31" s="34">
        <v>29</v>
      </c>
      <c r="P31" s="34">
        <v>84</v>
      </c>
      <c r="Q31" s="34">
        <v>74</v>
      </c>
      <c r="R31" s="34">
        <v>3</v>
      </c>
      <c r="S31" s="34">
        <v>88</v>
      </c>
      <c r="T31" s="35">
        <f t="shared" si="2"/>
        <v>278</v>
      </c>
    </row>
    <row r="32" spans="1:20" ht="18" x14ac:dyDescent="0.2">
      <c r="A32" s="27" t="s">
        <v>328</v>
      </c>
      <c r="B32" s="16"/>
      <c r="C32" s="16"/>
      <c r="D32" s="16"/>
      <c r="E32" s="16"/>
      <c r="F32" s="16"/>
      <c r="G32" s="16"/>
      <c r="H32" s="16"/>
      <c r="M32" s="36">
        <v>513</v>
      </c>
      <c r="N32" s="36" t="s">
        <v>587</v>
      </c>
      <c r="O32" s="36">
        <v>76</v>
      </c>
      <c r="P32" s="36">
        <v>17</v>
      </c>
      <c r="Q32" s="36">
        <v>58</v>
      </c>
      <c r="R32" s="36">
        <v>32</v>
      </c>
      <c r="S32" s="36">
        <v>89</v>
      </c>
      <c r="T32" s="35">
        <f t="shared" si="2"/>
        <v>272</v>
      </c>
    </row>
    <row r="33" spans="1:20" ht="18" x14ac:dyDescent="0.2">
      <c r="A33" s="24" t="s">
        <v>329</v>
      </c>
      <c r="B33" s="25"/>
      <c r="C33" s="25"/>
      <c r="D33" s="26"/>
      <c r="E33" s="16"/>
      <c r="F33" s="16"/>
      <c r="G33" s="16"/>
      <c r="H33" s="16"/>
      <c r="M33" s="34">
        <v>514</v>
      </c>
      <c r="N33" s="34" t="s">
        <v>594</v>
      </c>
      <c r="O33" s="34">
        <v>57</v>
      </c>
      <c r="P33" s="34">
        <v>52</v>
      </c>
      <c r="Q33" s="34">
        <v>7</v>
      </c>
      <c r="R33" s="34">
        <v>25</v>
      </c>
      <c r="S33" s="34">
        <v>9</v>
      </c>
      <c r="T33" s="35">
        <f t="shared" si="2"/>
        <v>150</v>
      </c>
    </row>
    <row r="34" spans="1:20" ht="18" x14ac:dyDescent="0.2">
      <c r="A34" s="24" t="s">
        <v>330</v>
      </c>
      <c r="B34" s="25"/>
      <c r="C34" s="25"/>
      <c r="D34" s="26"/>
      <c r="E34" s="16"/>
      <c r="F34" s="16"/>
      <c r="G34" s="16"/>
      <c r="H34" s="16"/>
      <c r="M34" s="36">
        <v>515</v>
      </c>
      <c r="N34" s="36" t="s">
        <v>601</v>
      </c>
      <c r="O34" s="36">
        <v>78</v>
      </c>
      <c r="P34" s="36">
        <v>41</v>
      </c>
      <c r="Q34" s="36">
        <v>74</v>
      </c>
      <c r="R34" s="36">
        <v>10</v>
      </c>
      <c r="S34" s="36">
        <v>11</v>
      </c>
      <c r="T34" s="35">
        <f t="shared" si="2"/>
        <v>214</v>
      </c>
    </row>
    <row r="35" spans="1:20" ht="18" x14ac:dyDescent="0.2">
      <c r="A35" s="24" t="s">
        <v>331</v>
      </c>
      <c r="B35" s="25"/>
      <c r="C35" s="25"/>
      <c r="D35" s="26"/>
      <c r="E35" s="16"/>
      <c r="F35" s="16"/>
      <c r="G35" s="16"/>
      <c r="H35" s="16"/>
      <c r="M35" s="34">
        <v>516</v>
      </c>
      <c r="N35" s="34" t="s">
        <v>608</v>
      </c>
      <c r="O35" s="34">
        <v>25</v>
      </c>
      <c r="P35" s="34">
        <v>26</v>
      </c>
      <c r="Q35" s="34">
        <v>58</v>
      </c>
      <c r="R35" s="34">
        <v>6</v>
      </c>
      <c r="S35" s="34">
        <v>88</v>
      </c>
      <c r="T35" s="35">
        <f t="shared" si="2"/>
        <v>203</v>
      </c>
    </row>
    <row r="36" spans="1:20" ht="18" x14ac:dyDescent="0.2">
      <c r="A36" s="24" t="s">
        <v>332</v>
      </c>
      <c r="B36" s="25"/>
      <c r="C36" s="25"/>
      <c r="D36" s="26"/>
      <c r="E36" s="16"/>
      <c r="F36" s="16"/>
      <c r="G36" s="16"/>
      <c r="H36" s="16"/>
      <c r="M36" s="36">
        <v>517</v>
      </c>
      <c r="N36" s="36" t="s">
        <v>615</v>
      </c>
      <c r="O36" s="36">
        <v>47</v>
      </c>
      <c r="P36" s="36">
        <v>31</v>
      </c>
      <c r="Q36" s="36">
        <v>59</v>
      </c>
      <c r="R36" s="36">
        <v>82</v>
      </c>
      <c r="S36" s="36">
        <v>67</v>
      </c>
      <c r="T36" s="35">
        <f t="shared" si="2"/>
        <v>286</v>
      </c>
    </row>
    <row r="37" spans="1:20" ht="18" x14ac:dyDescent="0.2">
      <c r="A37" s="24" t="s">
        <v>333</v>
      </c>
      <c r="B37" s="25"/>
      <c r="C37" s="25"/>
      <c r="D37" s="26"/>
      <c r="E37" s="16"/>
      <c r="F37" s="16"/>
      <c r="G37" s="16"/>
      <c r="H37" s="16"/>
      <c r="M37" s="34">
        <v>518</v>
      </c>
      <c r="N37" s="34" t="s">
        <v>622</v>
      </c>
      <c r="O37" s="34">
        <v>26</v>
      </c>
      <c r="P37" s="34">
        <v>32</v>
      </c>
      <c r="Q37" s="34">
        <v>35</v>
      </c>
      <c r="R37" s="34">
        <v>39</v>
      </c>
      <c r="S37" s="34">
        <v>86</v>
      </c>
      <c r="T37" s="35">
        <f t="shared" si="2"/>
        <v>218</v>
      </c>
    </row>
    <row r="38" spans="1:20" ht="18" x14ac:dyDescent="0.2">
      <c r="A38" s="24" t="s">
        <v>334</v>
      </c>
      <c r="B38" s="25"/>
      <c r="C38" s="25"/>
      <c r="D38" s="26"/>
      <c r="E38" s="16"/>
      <c r="F38" s="16"/>
      <c r="G38" s="16"/>
      <c r="H38" s="16"/>
      <c r="M38" s="36">
        <v>519</v>
      </c>
      <c r="N38" s="36" t="s">
        <v>629</v>
      </c>
      <c r="O38" s="36">
        <v>74</v>
      </c>
      <c r="P38" s="36">
        <v>17</v>
      </c>
      <c r="Q38" s="36">
        <v>4</v>
      </c>
      <c r="R38" s="36">
        <v>88</v>
      </c>
      <c r="S38" s="36">
        <v>53</v>
      </c>
      <c r="T38" s="35">
        <f t="shared" si="2"/>
        <v>236</v>
      </c>
    </row>
    <row r="39" spans="1:20" ht="18" x14ac:dyDescent="0.2">
      <c r="A39" s="24" t="s">
        <v>335</v>
      </c>
      <c r="B39" s="25"/>
      <c r="C39" s="25"/>
      <c r="D39" s="26"/>
      <c r="E39" s="16"/>
      <c r="F39" s="16"/>
      <c r="G39" s="16"/>
      <c r="H39" s="16"/>
      <c r="M39" s="34">
        <v>520</v>
      </c>
      <c r="N39" s="34" t="s">
        <v>636</v>
      </c>
      <c r="O39" s="34">
        <v>7</v>
      </c>
      <c r="P39" s="34">
        <v>69</v>
      </c>
      <c r="Q39" s="34">
        <v>43</v>
      </c>
      <c r="R39" s="34">
        <v>48</v>
      </c>
      <c r="S39" s="34">
        <v>53</v>
      </c>
      <c r="T39" s="35">
        <f t="shared" si="2"/>
        <v>220</v>
      </c>
    </row>
    <row r="40" spans="1:20" ht="18" x14ac:dyDescent="0.2">
      <c r="A40" s="24" t="s">
        <v>336</v>
      </c>
      <c r="B40" s="25"/>
      <c r="C40" s="25"/>
      <c r="D40" s="26"/>
      <c r="E40" s="16"/>
      <c r="F40" s="16"/>
      <c r="G40" s="16"/>
      <c r="H40" s="16"/>
      <c r="M40" s="36">
        <v>521</v>
      </c>
      <c r="N40" s="36" t="s">
        <v>643</v>
      </c>
      <c r="O40" s="36">
        <v>9</v>
      </c>
      <c r="P40" s="36">
        <v>23</v>
      </c>
      <c r="Q40" s="36">
        <v>39</v>
      </c>
      <c r="R40" s="36">
        <v>85</v>
      </c>
      <c r="S40" s="36">
        <v>40</v>
      </c>
      <c r="T40" s="35">
        <f t="shared" si="2"/>
        <v>196</v>
      </c>
    </row>
    <row r="41" spans="1:20" ht="18" x14ac:dyDescent="0.2">
      <c r="A41" s="24" t="s">
        <v>337</v>
      </c>
      <c r="B41" s="25"/>
      <c r="C41" s="25"/>
      <c r="D41" s="26"/>
      <c r="E41" s="16"/>
      <c r="F41" s="16"/>
      <c r="G41" s="16"/>
      <c r="H41" s="16"/>
      <c r="M41" s="34">
        <v>522</v>
      </c>
      <c r="N41" s="34" t="s">
        <v>650</v>
      </c>
      <c r="O41" s="34">
        <v>18</v>
      </c>
      <c r="P41" s="34">
        <v>74</v>
      </c>
      <c r="Q41" s="34">
        <v>22</v>
      </c>
      <c r="R41" s="34">
        <v>19</v>
      </c>
      <c r="S41" s="34">
        <v>1</v>
      </c>
      <c r="T41" s="35">
        <f t="shared" si="2"/>
        <v>134</v>
      </c>
    </row>
    <row r="42" spans="1:20" ht="18" x14ac:dyDescent="0.2">
      <c r="A42" s="24" t="s">
        <v>338</v>
      </c>
      <c r="B42" s="25"/>
      <c r="C42" s="25"/>
      <c r="D42" s="26"/>
      <c r="E42" s="16"/>
      <c r="F42" s="16"/>
      <c r="G42" s="16"/>
      <c r="H42" s="16"/>
      <c r="M42" s="36">
        <v>523</v>
      </c>
      <c r="N42" s="36" t="s">
        <v>657</v>
      </c>
      <c r="O42" s="36">
        <v>84</v>
      </c>
      <c r="P42" s="36">
        <v>54</v>
      </c>
      <c r="Q42" s="36">
        <v>20</v>
      </c>
      <c r="R42" s="36">
        <v>22</v>
      </c>
      <c r="S42" s="36">
        <v>5</v>
      </c>
      <c r="T42" s="35">
        <f t="shared" si="2"/>
        <v>185</v>
      </c>
    </row>
    <row r="43" spans="1:20" ht="18" x14ac:dyDescent="0.2">
      <c r="M43" s="34">
        <v>524</v>
      </c>
      <c r="N43" s="34" t="s">
        <v>663</v>
      </c>
      <c r="O43" s="34">
        <v>86</v>
      </c>
      <c r="P43" s="34">
        <v>66</v>
      </c>
      <c r="Q43" s="34">
        <v>4</v>
      </c>
      <c r="R43" s="34">
        <v>58</v>
      </c>
      <c r="S43" s="34">
        <v>5</v>
      </c>
      <c r="T43" s="35">
        <f t="shared" si="2"/>
        <v>219</v>
      </c>
    </row>
    <row r="44" spans="1:20" ht="18" x14ac:dyDescent="0.2">
      <c r="M44" s="36">
        <v>525</v>
      </c>
      <c r="N44" s="36" t="s">
        <v>670</v>
      </c>
      <c r="O44" s="36">
        <v>87</v>
      </c>
      <c r="P44" s="36">
        <v>43</v>
      </c>
      <c r="Q44" s="36">
        <v>15</v>
      </c>
      <c r="R44" s="36">
        <v>61</v>
      </c>
      <c r="S44" s="36">
        <v>37</v>
      </c>
      <c r="T44" s="35">
        <f t="shared" si="2"/>
        <v>243</v>
      </c>
    </row>
    <row r="45" spans="1:20" ht="18" x14ac:dyDescent="0.2">
      <c r="M45" s="34">
        <v>526</v>
      </c>
      <c r="N45" s="34" t="s">
        <v>676</v>
      </c>
      <c r="O45" s="34">
        <v>49</v>
      </c>
      <c r="P45" s="34">
        <v>31</v>
      </c>
      <c r="Q45" s="34">
        <v>47</v>
      </c>
      <c r="R45" s="34">
        <v>56</v>
      </c>
      <c r="S45" s="34">
        <v>82</v>
      </c>
      <c r="T45" s="35">
        <f t="shared" si="2"/>
        <v>265</v>
      </c>
    </row>
    <row r="46" spans="1:20" ht="18" x14ac:dyDescent="0.2">
      <c r="M46" s="36">
        <v>527</v>
      </c>
      <c r="N46" s="36" t="s">
        <v>682</v>
      </c>
      <c r="O46" s="36">
        <v>9</v>
      </c>
      <c r="P46" s="36">
        <v>41</v>
      </c>
      <c r="Q46" s="36">
        <v>25</v>
      </c>
      <c r="R46" s="36">
        <v>26</v>
      </c>
      <c r="S46" s="36">
        <v>32</v>
      </c>
      <c r="T46" s="35">
        <f t="shared" si="2"/>
        <v>133</v>
      </c>
    </row>
    <row r="47" spans="1:20" ht="18" x14ac:dyDescent="0.2">
      <c r="M47" s="34">
        <v>528</v>
      </c>
      <c r="N47" s="34" t="s">
        <v>687</v>
      </c>
      <c r="O47" s="34">
        <v>53</v>
      </c>
      <c r="P47" s="34">
        <v>9</v>
      </c>
      <c r="Q47" s="34">
        <v>49</v>
      </c>
      <c r="R47" s="34">
        <v>64</v>
      </c>
      <c r="S47" s="34">
        <v>17</v>
      </c>
      <c r="T47" s="35">
        <f t="shared" si="2"/>
        <v>192</v>
      </c>
    </row>
    <row r="48" spans="1:20" ht="18" x14ac:dyDescent="0.2">
      <c r="M48" s="36">
        <v>529</v>
      </c>
      <c r="N48" s="36" t="s">
        <v>693</v>
      </c>
      <c r="O48" s="36">
        <v>58</v>
      </c>
      <c r="P48" s="36">
        <v>74</v>
      </c>
      <c r="Q48" s="36">
        <v>15</v>
      </c>
      <c r="R48" s="36">
        <v>12</v>
      </c>
      <c r="S48" s="36">
        <v>80</v>
      </c>
      <c r="T48" s="35">
        <f t="shared" si="2"/>
        <v>239</v>
      </c>
    </row>
    <row r="49" spans="13:20" ht="18" x14ac:dyDescent="0.2">
      <c r="M49" s="34">
        <v>530</v>
      </c>
      <c r="N49" s="34" t="s">
        <v>699</v>
      </c>
      <c r="O49" s="34">
        <v>79</v>
      </c>
      <c r="P49" s="34">
        <v>40</v>
      </c>
      <c r="Q49" s="34">
        <v>38</v>
      </c>
      <c r="R49" s="34">
        <v>63</v>
      </c>
      <c r="S49" s="34">
        <v>50</v>
      </c>
      <c r="T49" s="35">
        <f t="shared" si="2"/>
        <v>270</v>
      </c>
    </row>
    <row r="50" spans="13:20" ht="18" x14ac:dyDescent="0.2">
      <c r="M50" s="36">
        <v>531</v>
      </c>
      <c r="N50" s="36" t="s">
        <v>705</v>
      </c>
      <c r="O50" s="36">
        <v>48</v>
      </c>
      <c r="P50" s="36">
        <v>21</v>
      </c>
      <c r="Q50" s="36">
        <v>83</v>
      </c>
      <c r="R50" s="36">
        <v>53</v>
      </c>
      <c r="S50" s="36">
        <v>50</v>
      </c>
      <c r="T50" s="35">
        <f t="shared" si="2"/>
        <v>255</v>
      </c>
    </row>
    <row r="51" spans="13:20" ht="18" x14ac:dyDescent="0.2">
      <c r="M51" s="34">
        <v>532</v>
      </c>
      <c r="N51" s="34" t="s">
        <v>711</v>
      </c>
      <c r="O51" s="34">
        <v>12</v>
      </c>
      <c r="P51" s="34">
        <v>24</v>
      </c>
      <c r="Q51" s="34">
        <v>32</v>
      </c>
      <c r="R51" s="34">
        <v>45</v>
      </c>
      <c r="S51" s="34">
        <v>63</v>
      </c>
      <c r="T51" s="35">
        <f t="shared" si="2"/>
        <v>176</v>
      </c>
    </row>
    <row r="52" spans="13:20" ht="18" x14ac:dyDescent="0.2">
      <c r="M52" s="36">
        <v>533</v>
      </c>
      <c r="N52" s="36" t="s">
        <v>717</v>
      </c>
      <c r="O52" s="36">
        <v>54</v>
      </c>
      <c r="P52" s="36">
        <v>41</v>
      </c>
      <c r="Q52" s="36">
        <v>53</v>
      </c>
      <c r="R52" s="36">
        <v>83</v>
      </c>
      <c r="S52" s="36">
        <v>80</v>
      </c>
      <c r="T52" s="35">
        <f t="shared" si="2"/>
        <v>311</v>
      </c>
    </row>
    <row r="53" spans="13:20" ht="18" x14ac:dyDescent="0.2">
      <c r="M53" s="34">
        <v>534</v>
      </c>
      <c r="N53" s="34" t="s">
        <v>723</v>
      </c>
      <c r="O53" s="34">
        <v>16</v>
      </c>
      <c r="P53" s="34">
        <v>2</v>
      </c>
      <c r="Q53" s="34">
        <v>45</v>
      </c>
      <c r="R53" s="34">
        <v>53</v>
      </c>
      <c r="S53" s="34">
        <v>88</v>
      </c>
      <c r="T53" s="35">
        <f t="shared" si="2"/>
        <v>204</v>
      </c>
    </row>
    <row r="54" spans="13:20" ht="18" x14ac:dyDescent="0.2">
      <c r="M54" s="36">
        <v>535</v>
      </c>
      <c r="N54" s="36" t="s">
        <v>729</v>
      </c>
      <c r="O54" s="36">
        <v>85</v>
      </c>
      <c r="P54" s="36">
        <v>74</v>
      </c>
      <c r="Q54" s="36">
        <v>65</v>
      </c>
      <c r="R54" s="36">
        <v>33</v>
      </c>
      <c r="S54" s="36">
        <v>54</v>
      </c>
      <c r="T54" s="35">
        <f t="shared" si="2"/>
        <v>311</v>
      </c>
    </row>
    <row r="55" spans="13:20" ht="18" x14ac:dyDescent="0.2">
      <c r="M55" s="34">
        <v>536</v>
      </c>
      <c r="N55" s="34" t="s">
        <v>735</v>
      </c>
      <c r="O55" s="34">
        <v>9</v>
      </c>
      <c r="P55" s="34">
        <v>1</v>
      </c>
      <c r="Q55" s="34">
        <v>42</v>
      </c>
      <c r="R55" s="34">
        <v>88</v>
      </c>
      <c r="S55" s="34">
        <v>89</v>
      </c>
      <c r="T55" s="35">
        <f t="shared" si="2"/>
        <v>229</v>
      </c>
    </row>
    <row r="56" spans="13:20" ht="18" x14ac:dyDescent="0.2">
      <c r="M56" s="37" t="s">
        <v>738</v>
      </c>
      <c r="N56" s="38"/>
      <c r="O56" s="39">
        <f t="shared" ref="O56:T56" si="3">IFERROR(AVERAGE(O3:O55),"")</f>
        <v>41.924528301886795</v>
      </c>
      <c r="P56" s="39">
        <f t="shared" si="3"/>
        <v>44.150943396226417</v>
      </c>
      <c r="Q56" s="39">
        <f t="shared" si="3"/>
        <v>36.679245283018865</v>
      </c>
      <c r="R56" s="39">
        <f t="shared" si="3"/>
        <v>43.226415094339622</v>
      </c>
      <c r="S56" s="39">
        <f t="shared" si="3"/>
        <v>50.018867924528301</v>
      </c>
      <c r="T56" s="39">
        <f t="shared" si="3"/>
        <v>216</v>
      </c>
    </row>
  </sheetData>
  <mergeCells count="23">
    <mergeCell ref="M1:T1"/>
    <mergeCell ref="A1:H1"/>
    <mergeCell ref="E41:H41"/>
    <mergeCell ref="E37:H37"/>
    <mergeCell ref="A40:D40"/>
    <mergeCell ref="A34:D34"/>
    <mergeCell ref="A39:D39"/>
    <mergeCell ref="E33:H33"/>
    <mergeCell ref="A32:H32"/>
    <mergeCell ref="E34:H34"/>
    <mergeCell ref="A33:D33"/>
    <mergeCell ref="E42:H42"/>
    <mergeCell ref="A36:D36"/>
    <mergeCell ref="E39:H39"/>
    <mergeCell ref="E35:H35"/>
    <mergeCell ref="E38:H38"/>
    <mergeCell ref="A41:D41"/>
    <mergeCell ref="A37:D37"/>
    <mergeCell ref="E40:H40"/>
    <mergeCell ref="A42:D42"/>
    <mergeCell ref="E36:H36"/>
    <mergeCell ref="A35:D35"/>
    <mergeCell ref="A38:D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"/>
  <sheetViews>
    <sheetView workbookViewId="0">
      <pane ySplit="2" topLeftCell="A3" activePane="bottomLeft" state="frozen"/>
      <selection pane="bottomLeft" activeCell="J1" sqref="J1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7" customWidth="1"/>
    <col min="8" max="8" width="10" customWidth="1"/>
  </cols>
  <sheetData>
    <row r="1" spans="1:8" ht="26" customHeight="1" x14ac:dyDescent="0.2">
      <c r="A1" s="20" t="s">
        <v>1</v>
      </c>
      <c r="B1" s="16"/>
      <c r="C1" s="16"/>
      <c r="D1" s="16"/>
      <c r="E1" s="16"/>
      <c r="F1" s="16"/>
      <c r="G1" s="16"/>
      <c r="H1" s="16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">
      <c r="A3" s="2" t="s">
        <v>14</v>
      </c>
      <c r="B3" s="2" t="s">
        <v>15</v>
      </c>
      <c r="C3" s="3">
        <v>49</v>
      </c>
      <c r="D3" s="3">
        <v>37</v>
      </c>
      <c r="E3" s="3">
        <v>83</v>
      </c>
      <c r="F3" s="3">
        <v>80</v>
      </c>
      <c r="G3" s="3">
        <v>34</v>
      </c>
      <c r="H3" s="4">
        <f t="shared" ref="H3:H34" si="0">SUM(C3:G3)</f>
        <v>283</v>
      </c>
    </row>
    <row r="4" spans="1:8" x14ac:dyDescent="0.2">
      <c r="A4" s="2" t="s">
        <v>22</v>
      </c>
      <c r="B4" s="2" t="s">
        <v>23</v>
      </c>
      <c r="C4" s="3">
        <v>31</v>
      </c>
      <c r="D4" s="3">
        <v>32</v>
      </c>
      <c r="E4" s="3">
        <v>71</v>
      </c>
      <c r="F4" s="3">
        <v>75</v>
      </c>
      <c r="G4" s="3">
        <v>90</v>
      </c>
      <c r="H4" s="4">
        <f t="shared" si="0"/>
        <v>299</v>
      </c>
    </row>
    <row r="5" spans="1:8" x14ac:dyDescent="0.2">
      <c r="A5" s="2" t="s">
        <v>30</v>
      </c>
      <c r="B5" s="2" t="s">
        <v>31</v>
      </c>
      <c r="C5" s="3">
        <v>12</v>
      </c>
      <c r="D5" s="3">
        <v>27</v>
      </c>
      <c r="E5" s="3">
        <v>48</v>
      </c>
      <c r="F5" s="3">
        <v>35</v>
      </c>
      <c r="G5" s="3">
        <v>9</v>
      </c>
      <c r="H5" s="4">
        <f t="shared" si="0"/>
        <v>131</v>
      </c>
    </row>
    <row r="6" spans="1:8" x14ac:dyDescent="0.2">
      <c r="A6" s="2" t="s">
        <v>38</v>
      </c>
      <c r="B6" s="2" t="s">
        <v>39</v>
      </c>
      <c r="C6" s="3">
        <v>16</v>
      </c>
      <c r="D6" s="3">
        <v>54</v>
      </c>
      <c r="E6" s="3">
        <v>37</v>
      </c>
      <c r="F6" s="3">
        <v>1</v>
      </c>
      <c r="G6" s="3">
        <v>32</v>
      </c>
      <c r="H6" s="4">
        <f t="shared" si="0"/>
        <v>140</v>
      </c>
    </row>
    <row r="7" spans="1:8" x14ac:dyDescent="0.2">
      <c r="A7" s="2" t="s">
        <v>46</v>
      </c>
      <c r="B7" s="2" t="s">
        <v>47</v>
      </c>
      <c r="C7" s="3">
        <v>64</v>
      </c>
      <c r="D7" s="3">
        <v>71</v>
      </c>
      <c r="E7" s="3">
        <v>29</v>
      </c>
      <c r="F7" s="3">
        <v>18</v>
      </c>
      <c r="G7" s="3">
        <v>34</v>
      </c>
      <c r="H7" s="4">
        <f t="shared" si="0"/>
        <v>216</v>
      </c>
    </row>
    <row r="8" spans="1:8" x14ac:dyDescent="0.2">
      <c r="A8" s="2" t="s">
        <v>54</v>
      </c>
      <c r="B8" s="2" t="s">
        <v>55</v>
      </c>
      <c r="C8" s="3">
        <v>51</v>
      </c>
      <c r="D8" s="3">
        <v>30</v>
      </c>
      <c r="E8" s="3">
        <v>44</v>
      </c>
      <c r="F8" s="3">
        <v>47</v>
      </c>
      <c r="G8" s="3">
        <v>19</v>
      </c>
      <c r="H8" s="4">
        <f t="shared" si="0"/>
        <v>191</v>
      </c>
    </row>
    <row r="9" spans="1:8" x14ac:dyDescent="0.2">
      <c r="A9" s="2" t="s">
        <v>62</v>
      </c>
      <c r="B9" s="2" t="s">
        <v>63</v>
      </c>
      <c r="C9" s="3">
        <v>77</v>
      </c>
      <c r="D9" s="3">
        <v>11</v>
      </c>
      <c r="E9" s="3">
        <v>47</v>
      </c>
      <c r="F9" s="3">
        <v>67</v>
      </c>
      <c r="G9" s="3">
        <v>23</v>
      </c>
      <c r="H9" s="4">
        <f t="shared" si="0"/>
        <v>225</v>
      </c>
    </row>
    <row r="10" spans="1:8" x14ac:dyDescent="0.2">
      <c r="A10" s="2" t="s">
        <v>70</v>
      </c>
      <c r="B10" s="2" t="s">
        <v>71</v>
      </c>
      <c r="C10" s="3">
        <v>55</v>
      </c>
      <c r="D10" s="3">
        <v>34</v>
      </c>
      <c r="E10" s="3">
        <v>39</v>
      </c>
      <c r="F10" s="3">
        <v>23</v>
      </c>
      <c r="G10" s="3">
        <v>17</v>
      </c>
      <c r="H10" s="4">
        <f t="shared" si="0"/>
        <v>168</v>
      </c>
    </row>
    <row r="11" spans="1:8" x14ac:dyDescent="0.2">
      <c r="A11" s="2" t="s">
        <v>78</v>
      </c>
      <c r="B11" s="2" t="s">
        <v>79</v>
      </c>
      <c r="C11" s="3">
        <v>1</v>
      </c>
      <c r="D11" s="3">
        <v>76</v>
      </c>
      <c r="E11" s="3">
        <v>25</v>
      </c>
      <c r="F11" s="3">
        <v>69</v>
      </c>
      <c r="G11" s="3">
        <v>68</v>
      </c>
      <c r="H11" s="4">
        <f t="shared" si="0"/>
        <v>239</v>
      </c>
    </row>
    <row r="12" spans="1:8" x14ac:dyDescent="0.2">
      <c r="A12" s="2" t="s">
        <v>86</v>
      </c>
      <c r="B12" s="2" t="s">
        <v>87</v>
      </c>
      <c r="C12" s="3">
        <v>72</v>
      </c>
      <c r="D12" s="3">
        <v>30</v>
      </c>
      <c r="E12" s="3">
        <v>13</v>
      </c>
      <c r="F12" s="3">
        <v>56</v>
      </c>
      <c r="G12" s="3">
        <v>33</v>
      </c>
      <c r="H12" s="4">
        <f t="shared" si="0"/>
        <v>204</v>
      </c>
    </row>
    <row r="13" spans="1:8" x14ac:dyDescent="0.2">
      <c r="A13" s="2" t="s">
        <v>94</v>
      </c>
      <c r="B13" s="2" t="s">
        <v>95</v>
      </c>
      <c r="C13" s="3">
        <v>78</v>
      </c>
      <c r="D13" s="3">
        <v>35</v>
      </c>
      <c r="E13" s="3">
        <v>12</v>
      </c>
      <c r="F13" s="3">
        <v>80</v>
      </c>
      <c r="G13" s="3">
        <v>77</v>
      </c>
      <c r="H13" s="4">
        <f t="shared" si="0"/>
        <v>282</v>
      </c>
    </row>
    <row r="14" spans="1:8" x14ac:dyDescent="0.2">
      <c r="A14" s="2" t="s">
        <v>102</v>
      </c>
      <c r="B14" s="2" t="s">
        <v>103</v>
      </c>
      <c r="C14" s="3">
        <v>29</v>
      </c>
      <c r="D14" s="3">
        <v>46</v>
      </c>
      <c r="E14" s="3">
        <v>13</v>
      </c>
      <c r="F14" s="3">
        <v>4</v>
      </c>
      <c r="G14" s="3">
        <v>27</v>
      </c>
      <c r="H14" s="4">
        <f t="shared" si="0"/>
        <v>119</v>
      </c>
    </row>
    <row r="15" spans="1:8" x14ac:dyDescent="0.2">
      <c r="A15" s="2" t="s">
        <v>110</v>
      </c>
      <c r="B15" s="2" t="s">
        <v>111</v>
      </c>
      <c r="C15" s="3">
        <v>7</v>
      </c>
      <c r="D15" s="3">
        <v>77</v>
      </c>
      <c r="E15" s="3">
        <v>83</v>
      </c>
      <c r="F15" s="3">
        <v>18</v>
      </c>
      <c r="G15" s="3">
        <v>20</v>
      </c>
      <c r="H15" s="4">
        <f t="shared" si="0"/>
        <v>205</v>
      </c>
    </row>
    <row r="16" spans="1:8" x14ac:dyDescent="0.2">
      <c r="A16" s="2" t="s">
        <v>118</v>
      </c>
      <c r="B16" s="2" t="s">
        <v>119</v>
      </c>
      <c r="C16" s="3">
        <v>64</v>
      </c>
      <c r="D16" s="3">
        <v>76</v>
      </c>
      <c r="E16" s="3">
        <v>72</v>
      </c>
      <c r="F16" s="3">
        <v>35</v>
      </c>
      <c r="G16" s="3">
        <v>22</v>
      </c>
      <c r="H16" s="4">
        <f t="shared" si="0"/>
        <v>269</v>
      </c>
    </row>
    <row r="17" spans="1:8" x14ac:dyDescent="0.2">
      <c r="A17" s="2" t="s">
        <v>126</v>
      </c>
      <c r="B17" s="2" t="s">
        <v>127</v>
      </c>
      <c r="C17" s="3">
        <v>45</v>
      </c>
      <c r="D17" s="3">
        <v>29</v>
      </c>
      <c r="E17" s="3">
        <v>84</v>
      </c>
      <c r="F17" s="3">
        <v>31</v>
      </c>
      <c r="G17" s="3">
        <v>41</v>
      </c>
      <c r="H17" s="4">
        <f t="shared" si="0"/>
        <v>230</v>
      </c>
    </row>
    <row r="18" spans="1:8" x14ac:dyDescent="0.2">
      <c r="A18" s="2" t="s">
        <v>134</v>
      </c>
      <c r="B18" s="2" t="s">
        <v>135</v>
      </c>
      <c r="C18" s="3">
        <v>45</v>
      </c>
      <c r="D18" s="3">
        <v>83</v>
      </c>
      <c r="E18" s="3">
        <v>50</v>
      </c>
      <c r="F18" s="3">
        <v>7</v>
      </c>
      <c r="G18" s="3">
        <v>24</v>
      </c>
      <c r="H18" s="4">
        <f t="shared" si="0"/>
        <v>209</v>
      </c>
    </row>
    <row r="19" spans="1:8" x14ac:dyDescent="0.2">
      <c r="A19" s="2" t="s">
        <v>142</v>
      </c>
      <c r="B19" s="2" t="s">
        <v>143</v>
      </c>
      <c r="C19" s="3">
        <v>60</v>
      </c>
      <c r="D19" s="3">
        <v>38</v>
      </c>
      <c r="E19" s="3">
        <v>36</v>
      </c>
      <c r="F19" s="3">
        <v>79</v>
      </c>
      <c r="G19" s="3">
        <v>34</v>
      </c>
      <c r="H19" s="4">
        <f t="shared" si="0"/>
        <v>247</v>
      </c>
    </row>
    <row r="20" spans="1:8" x14ac:dyDescent="0.2">
      <c r="A20" s="2" t="s">
        <v>150</v>
      </c>
      <c r="B20" s="2" t="s">
        <v>151</v>
      </c>
      <c r="C20" s="3">
        <v>1</v>
      </c>
      <c r="D20" s="3">
        <v>5</v>
      </c>
      <c r="E20" s="3">
        <v>60</v>
      </c>
      <c r="F20" s="3">
        <v>20</v>
      </c>
      <c r="G20" s="3">
        <v>84</v>
      </c>
      <c r="H20" s="4">
        <f t="shared" si="0"/>
        <v>170</v>
      </c>
    </row>
    <row r="21" spans="1:8" x14ac:dyDescent="0.2">
      <c r="A21" s="2" t="s">
        <v>158</v>
      </c>
      <c r="B21" s="2" t="s">
        <v>159</v>
      </c>
      <c r="C21" s="3">
        <v>71</v>
      </c>
      <c r="D21" s="3">
        <v>42</v>
      </c>
      <c r="E21" s="3">
        <v>62</v>
      </c>
      <c r="F21" s="3">
        <v>54</v>
      </c>
      <c r="G21" s="3">
        <v>32</v>
      </c>
      <c r="H21" s="4">
        <f t="shared" si="0"/>
        <v>261</v>
      </c>
    </row>
    <row r="22" spans="1:8" x14ac:dyDescent="0.2">
      <c r="A22" s="2" t="s">
        <v>166</v>
      </c>
      <c r="B22" s="2" t="s">
        <v>167</v>
      </c>
      <c r="C22" s="3">
        <v>65</v>
      </c>
      <c r="D22" s="3">
        <v>88</v>
      </c>
      <c r="E22" s="3">
        <v>63</v>
      </c>
      <c r="F22" s="3">
        <v>81</v>
      </c>
      <c r="G22" s="3">
        <v>36</v>
      </c>
      <c r="H22" s="4">
        <f t="shared" si="0"/>
        <v>333</v>
      </c>
    </row>
    <row r="23" spans="1:8" x14ac:dyDescent="0.2">
      <c r="A23" s="2" t="s">
        <v>174</v>
      </c>
      <c r="B23" s="2" t="s">
        <v>175</v>
      </c>
      <c r="C23" s="3">
        <v>48</v>
      </c>
      <c r="D23" s="3">
        <v>5</v>
      </c>
      <c r="E23" s="3">
        <v>16</v>
      </c>
      <c r="F23" s="3">
        <v>13</v>
      </c>
      <c r="G23" s="3">
        <v>49</v>
      </c>
      <c r="H23" s="4">
        <f t="shared" si="0"/>
        <v>131</v>
      </c>
    </row>
    <row r="24" spans="1:8" x14ac:dyDescent="0.2">
      <c r="A24" s="2" t="s">
        <v>182</v>
      </c>
      <c r="B24" s="2" t="s">
        <v>183</v>
      </c>
      <c r="C24" s="3">
        <v>38</v>
      </c>
      <c r="D24" s="3">
        <v>82</v>
      </c>
      <c r="E24" s="3">
        <v>50</v>
      </c>
      <c r="F24" s="3">
        <v>25</v>
      </c>
      <c r="G24" s="3">
        <v>67</v>
      </c>
      <c r="H24" s="4">
        <f t="shared" si="0"/>
        <v>262</v>
      </c>
    </row>
    <row r="25" spans="1:8" x14ac:dyDescent="0.2">
      <c r="A25" s="2" t="s">
        <v>190</v>
      </c>
      <c r="B25" s="2" t="s">
        <v>191</v>
      </c>
      <c r="C25" s="3">
        <v>52</v>
      </c>
      <c r="D25" s="3">
        <v>82</v>
      </c>
      <c r="E25" s="3">
        <v>74</v>
      </c>
      <c r="F25" s="3">
        <v>11</v>
      </c>
      <c r="G25" s="3">
        <v>62</v>
      </c>
      <c r="H25" s="4">
        <f t="shared" si="0"/>
        <v>281</v>
      </c>
    </row>
    <row r="26" spans="1:8" x14ac:dyDescent="0.2">
      <c r="A26" s="2" t="s">
        <v>198</v>
      </c>
      <c r="B26" s="2" t="s">
        <v>199</v>
      </c>
      <c r="C26" s="3">
        <v>70</v>
      </c>
      <c r="D26" s="3">
        <v>29</v>
      </c>
      <c r="E26" s="3">
        <v>90</v>
      </c>
      <c r="F26" s="3">
        <v>61</v>
      </c>
      <c r="G26" s="3">
        <v>81</v>
      </c>
      <c r="H26" s="4">
        <f t="shared" si="0"/>
        <v>331</v>
      </c>
    </row>
    <row r="27" spans="1:8" x14ac:dyDescent="0.2">
      <c r="A27" s="2" t="s">
        <v>206</v>
      </c>
      <c r="B27" s="2" t="s">
        <v>207</v>
      </c>
      <c r="C27" s="3">
        <v>71</v>
      </c>
      <c r="D27" s="3">
        <v>11</v>
      </c>
      <c r="E27" s="3">
        <v>90</v>
      </c>
      <c r="F27" s="3">
        <v>74</v>
      </c>
      <c r="G27" s="3">
        <v>73</v>
      </c>
      <c r="H27" s="4">
        <f t="shared" si="0"/>
        <v>319</v>
      </c>
    </row>
    <row r="28" spans="1:8" x14ac:dyDescent="0.2">
      <c r="A28" s="2" t="s">
        <v>214</v>
      </c>
      <c r="B28" s="2" t="s">
        <v>215</v>
      </c>
      <c r="C28" s="3">
        <v>54</v>
      </c>
      <c r="D28" s="3">
        <v>72</v>
      </c>
      <c r="E28" s="3">
        <v>70</v>
      </c>
      <c r="F28" s="3">
        <v>86</v>
      </c>
      <c r="G28" s="3">
        <v>62</v>
      </c>
      <c r="H28" s="4">
        <f t="shared" si="0"/>
        <v>344</v>
      </c>
    </row>
    <row r="29" spans="1:8" x14ac:dyDescent="0.2">
      <c r="A29" s="2" t="s">
        <v>222</v>
      </c>
      <c r="B29" s="2" t="s">
        <v>223</v>
      </c>
      <c r="C29" s="3">
        <v>28</v>
      </c>
      <c r="D29" s="3">
        <v>45</v>
      </c>
      <c r="E29" s="3">
        <v>21</v>
      </c>
      <c r="F29" s="3">
        <v>69</v>
      </c>
      <c r="G29" s="3">
        <v>48</v>
      </c>
      <c r="H29" s="4">
        <f t="shared" si="0"/>
        <v>211</v>
      </c>
    </row>
    <row r="30" spans="1:8" x14ac:dyDescent="0.2">
      <c r="A30" s="2" t="s">
        <v>228</v>
      </c>
      <c r="B30" s="2" t="s">
        <v>229</v>
      </c>
      <c r="C30" s="3">
        <v>66</v>
      </c>
      <c r="D30" s="3">
        <v>63</v>
      </c>
      <c r="E30" s="3">
        <v>11</v>
      </c>
      <c r="F30" s="3">
        <v>28</v>
      </c>
      <c r="G30" s="3">
        <v>9</v>
      </c>
      <c r="H30" s="4">
        <f t="shared" si="0"/>
        <v>177</v>
      </c>
    </row>
    <row r="31" spans="1:8" x14ac:dyDescent="0.2">
      <c r="A31" s="2" t="s">
        <v>232</v>
      </c>
      <c r="B31" s="2" t="s">
        <v>233</v>
      </c>
      <c r="C31" s="3">
        <v>80</v>
      </c>
      <c r="D31" s="3">
        <v>38</v>
      </c>
      <c r="E31" s="3">
        <v>60</v>
      </c>
      <c r="F31" s="3">
        <v>42</v>
      </c>
      <c r="G31" s="3">
        <v>68</v>
      </c>
      <c r="H31" s="4">
        <f t="shared" si="0"/>
        <v>288</v>
      </c>
    </row>
    <row r="32" spans="1:8" x14ac:dyDescent="0.2">
      <c r="A32" s="2" t="s">
        <v>236</v>
      </c>
      <c r="B32" s="2" t="s">
        <v>237</v>
      </c>
      <c r="C32" s="3">
        <v>36</v>
      </c>
      <c r="D32" s="3">
        <v>51</v>
      </c>
      <c r="E32" s="3">
        <v>76</v>
      </c>
      <c r="F32" s="3">
        <v>32</v>
      </c>
      <c r="G32" s="3">
        <v>29</v>
      </c>
      <c r="H32" s="4">
        <f t="shared" si="0"/>
        <v>224</v>
      </c>
    </row>
    <row r="33" spans="1:8" x14ac:dyDescent="0.2">
      <c r="A33" s="2" t="s">
        <v>240</v>
      </c>
      <c r="B33" s="2" t="s">
        <v>241</v>
      </c>
      <c r="C33" s="3">
        <v>52</v>
      </c>
      <c r="D33" s="3">
        <v>15</v>
      </c>
      <c r="E33" s="3">
        <v>19</v>
      </c>
      <c r="F33" s="3">
        <v>61</v>
      </c>
      <c r="G33" s="3">
        <v>34</v>
      </c>
      <c r="H33" s="4">
        <f t="shared" si="0"/>
        <v>181</v>
      </c>
    </row>
    <row r="34" spans="1:8" x14ac:dyDescent="0.2">
      <c r="A34" s="2" t="s">
        <v>244</v>
      </c>
      <c r="B34" s="2" t="s">
        <v>245</v>
      </c>
      <c r="C34" s="3">
        <v>60</v>
      </c>
      <c r="D34" s="3">
        <v>68</v>
      </c>
      <c r="E34" s="3">
        <v>57</v>
      </c>
      <c r="F34" s="3">
        <v>72</v>
      </c>
      <c r="G34" s="3">
        <v>22</v>
      </c>
      <c r="H34" s="4">
        <f t="shared" si="0"/>
        <v>279</v>
      </c>
    </row>
    <row r="35" spans="1:8" x14ac:dyDescent="0.2">
      <c r="A35" s="2" t="s">
        <v>248</v>
      </c>
      <c r="B35" s="2" t="s">
        <v>249</v>
      </c>
      <c r="C35" s="3">
        <v>6</v>
      </c>
      <c r="D35" s="3">
        <v>46</v>
      </c>
      <c r="E35" s="3">
        <v>53</v>
      </c>
      <c r="F35" s="3">
        <v>70</v>
      </c>
      <c r="G35" s="3">
        <v>65</v>
      </c>
      <c r="H35" s="4">
        <f t="shared" ref="H35:H54" si="1">SUM(C35:G35)</f>
        <v>240</v>
      </c>
    </row>
    <row r="36" spans="1:8" x14ac:dyDescent="0.2">
      <c r="A36" s="2" t="s">
        <v>252</v>
      </c>
      <c r="B36" s="2" t="s">
        <v>253</v>
      </c>
      <c r="C36" s="3">
        <v>43</v>
      </c>
      <c r="D36" s="3">
        <v>80</v>
      </c>
      <c r="E36" s="3">
        <v>29</v>
      </c>
      <c r="F36" s="3">
        <v>14</v>
      </c>
      <c r="G36" s="3">
        <v>62</v>
      </c>
      <c r="H36" s="4">
        <f t="shared" si="1"/>
        <v>228</v>
      </c>
    </row>
    <row r="37" spans="1:8" x14ac:dyDescent="0.2">
      <c r="A37" s="2" t="s">
        <v>256</v>
      </c>
      <c r="B37" s="2" t="s">
        <v>257</v>
      </c>
      <c r="C37" s="3">
        <v>9</v>
      </c>
      <c r="D37" s="3">
        <v>80</v>
      </c>
      <c r="E37" s="3">
        <v>82</v>
      </c>
      <c r="F37" s="3">
        <v>58</v>
      </c>
      <c r="G37" s="3">
        <v>21</v>
      </c>
      <c r="H37" s="4">
        <f t="shared" si="1"/>
        <v>250</v>
      </c>
    </row>
    <row r="38" spans="1:8" x14ac:dyDescent="0.2">
      <c r="A38" s="2" t="s">
        <v>260</v>
      </c>
      <c r="B38" s="2" t="s">
        <v>261</v>
      </c>
      <c r="C38" s="3">
        <v>62</v>
      </c>
      <c r="D38" s="3">
        <v>23</v>
      </c>
      <c r="E38" s="3">
        <v>45</v>
      </c>
      <c r="F38" s="3">
        <v>41</v>
      </c>
      <c r="G38" s="3">
        <v>54</v>
      </c>
      <c r="H38" s="4">
        <f t="shared" si="1"/>
        <v>225</v>
      </c>
    </row>
    <row r="39" spans="1:8" x14ac:dyDescent="0.2">
      <c r="A39" s="2" t="s">
        <v>264</v>
      </c>
      <c r="B39" s="2" t="s">
        <v>265</v>
      </c>
      <c r="C39" s="3">
        <v>35</v>
      </c>
      <c r="D39" s="3">
        <v>38</v>
      </c>
      <c r="E39" s="3">
        <v>6</v>
      </c>
      <c r="F39" s="3">
        <v>23</v>
      </c>
      <c r="G39" s="3">
        <v>7</v>
      </c>
      <c r="H39" s="4">
        <f t="shared" si="1"/>
        <v>109</v>
      </c>
    </row>
    <row r="40" spans="1:8" x14ac:dyDescent="0.2">
      <c r="A40" s="2" t="s">
        <v>268</v>
      </c>
      <c r="B40" s="2" t="s">
        <v>269</v>
      </c>
      <c r="C40" s="3">
        <v>4</v>
      </c>
      <c r="D40" s="3">
        <v>81</v>
      </c>
      <c r="E40" s="3">
        <v>31</v>
      </c>
      <c r="F40" s="3">
        <v>45</v>
      </c>
      <c r="G40" s="3">
        <v>51</v>
      </c>
      <c r="H40" s="4">
        <f t="shared" si="1"/>
        <v>212</v>
      </c>
    </row>
    <row r="41" spans="1:8" x14ac:dyDescent="0.2">
      <c r="A41" s="2" t="s">
        <v>272</v>
      </c>
      <c r="B41" s="2" t="s">
        <v>273</v>
      </c>
      <c r="C41" s="3">
        <v>3</v>
      </c>
      <c r="D41" s="3">
        <v>23</v>
      </c>
      <c r="E41" s="3">
        <v>69</v>
      </c>
      <c r="F41" s="3">
        <v>24</v>
      </c>
      <c r="G41" s="3">
        <v>2</v>
      </c>
      <c r="H41" s="4">
        <f t="shared" si="1"/>
        <v>121</v>
      </c>
    </row>
    <row r="42" spans="1:8" x14ac:dyDescent="0.2">
      <c r="A42" s="2" t="s">
        <v>276</v>
      </c>
      <c r="B42" s="2" t="s">
        <v>277</v>
      </c>
      <c r="C42" s="3">
        <v>64</v>
      </c>
      <c r="D42" s="3">
        <v>83</v>
      </c>
      <c r="E42" s="3">
        <v>90</v>
      </c>
      <c r="F42" s="3">
        <v>28</v>
      </c>
      <c r="G42" s="3">
        <v>31</v>
      </c>
      <c r="H42" s="4">
        <f t="shared" si="1"/>
        <v>296</v>
      </c>
    </row>
    <row r="43" spans="1:8" x14ac:dyDescent="0.2">
      <c r="A43" s="2" t="s">
        <v>280</v>
      </c>
      <c r="B43" s="2" t="s">
        <v>281</v>
      </c>
      <c r="C43" s="3">
        <v>46</v>
      </c>
      <c r="D43" s="3">
        <v>70</v>
      </c>
      <c r="E43" s="3">
        <v>58</v>
      </c>
      <c r="F43" s="3">
        <v>56</v>
      </c>
      <c r="G43" s="3">
        <v>89</v>
      </c>
      <c r="H43" s="4">
        <f t="shared" si="1"/>
        <v>319</v>
      </c>
    </row>
    <row r="44" spans="1:8" x14ac:dyDescent="0.2">
      <c r="A44" s="2" t="s">
        <v>284</v>
      </c>
      <c r="B44" s="2" t="s">
        <v>285</v>
      </c>
      <c r="C44" s="3">
        <v>68</v>
      </c>
      <c r="D44" s="3">
        <v>26</v>
      </c>
      <c r="E44" s="3">
        <v>82</v>
      </c>
      <c r="F44" s="3">
        <v>46</v>
      </c>
      <c r="G44" s="3">
        <v>83</v>
      </c>
      <c r="H44" s="4">
        <f t="shared" si="1"/>
        <v>305</v>
      </c>
    </row>
    <row r="45" spans="1:8" x14ac:dyDescent="0.2">
      <c r="A45" s="2" t="s">
        <v>288</v>
      </c>
      <c r="B45" s="2" t="s">
        <v>289</v>
      </c>
      <c r="C45" s="3">
        <v>46</v>
      </c>
      <c r="D45" s="3">
        <v>53</v>
      </c>
      <c r="E45" s="3">
        <v>63</v>
      </c>
      <c r="F45" s="3">
        <v>21</v>
      </c>
      <c r="G45" s="3">
        <v>44</v>
      </c>
      <c r="H45" s="4">
        <f t="shared" si="1"/>
        <v>227</v>
      </c>
    </row>
    <row r="46" spans="1:8" x14ac:dyDescent="0.2">
      <c r="A46" s="2" t="s">
        <v>292</v>
      </c>
      <c r="B46" s="2" t="s">
        <v>293</v>
      </c>
      <c r="C46" s="3">
        <v>82</v>
      </c>
      <c r="D46" s="3">
        <v>7</v>
      </c>
      <c r="E46" s="3">
        <v>14</v>
      </c>
      <c r="F46" s="3">
        <v>24</v>
      </c>
      <c r="G46" s="3">
        <v>79</v>
      </c>
      <c r="H46" s="4">
        <f t="shared" si="1"/>
        <v>206</v>
      </c>
    </row>
    <row r="47" spans="1:8" x14ac:dyDescent="0.2">
      <c r="A47" s="2" t="s">
        <v>296</v>
      </c>
      <c r="B47" s="2" t="s">
        <v>297</v>
      </c>
      <c r="C47" s="3">
        <v>38</v>
      </c>
      <c r="D47" s="3">
        <v>44</v>
      </c>
      <c r="E47" s="3">
        <v>76</v>
      </c>
      <c r="F47" s="3">
        <v>64</v>
      </c>
      <c r="G47" s="3">
        <v>56</v>
      </c>
      <c r="H47" s="4">
        <f t="shared" si="1"/>
        <v>278</v>
      </c>
    </row>
    <row r="48" spans="1:8" x14ac:dyDescent="0.2">
      <c r="A48" s="2" t="s">
        <v>300</v>
      </c>
      <c r="B48" s="2" t="s">
        <v>301</v>
      </c>
      <c r="C48" s="3">
        <v>14</v>
      </c>
      <c r="D48" s="3">
        <v>54</v>
      </c>
      <c r="E48" s="3">
        <v>35</v>
      </c>
      <c r="F48" s="3">
        <v>87</v>
      </c>
      <c r="G48" s="3">
        <v>60</v>
      </c>
      <c r="H48" s="4">
        <f t="shared" si="1"/>
        <v>250</v>
      </c>
    </row>
    <row r="49" spans="1:8" x14ac:dyDescent="0.2">
      <c r="A49" s="2" t="s">
        <v>304</v>
      </c>
      <c r="B49" s="2" t="s">
        <v>305</v>
      </c>
      <c r="C49" s="3">
        <v>24</v>
      </c>
      <c r="D49" s="3">
        <v>79</v>
      </c>
      <c r="E49" s="3">
        <v>81</v>
      </c>
      <c r="F49" s="3">
        <v>89</v>
      </c>
      <c r="G49" s="3">
        <v>46</v>
      </c>
      <c r="H49" s="4">
        <f t="shared" si="1"/>
        <v>319</v>
      </c>
    </row>
    <row r="50" spans="1:8" x14ac:dyDescent="0.2">
      <c r="A50" s="2" t="s">
        <v>308</v>
      </c>
      <c r="B50" s="2" t="s">
        <v>309</v>
      </c>
      <c r="C50" s="3">
        <v>88</v>
      </c>
      <c r="D50" s="3">
        <v>6</v>
      </c>
      <c r="E50" s="3">
        <v>85</v>
      </c>
      <c r="F50" s="3">
        <v>89</v>
      </c>
      <c r="G50" s="3">
        <v>40</v>
      </c>
      <c r="H50" s="4">
        <f t="shared" si="1"/>
        <v>308</v>
      </c>
    </row>
    <row r="51" spans="1:8" x14ac:dyDescent="0.2">
      <c r="A51" s="2" t="s">
        <v>312</v>
      </c>
      <c r="B51" s="2" t="s">
        <v>313</v>
      </c>
      <c r="C51" s="3">
        <v>72</v>
      </c>
      <c r="D51" s="3">
        <v>24</v>
      </c>
      <c r="E51" s="3">
        <v>16</v>
      </c>
      <c r="F51" s="3">
        <v>69</v>
      </c>
      <c r="G51" s="3">
        <v>27</v>
      </c>
      <c r="H51" s="4">
        <f t="shared" si="1"/>
        <v>208</v>
      </c>
    </row>
    <row r="52" spans="1:8" x14ac:dyDescent="0.2">
      <c r="A52" s="2" t="s">
        <v>316</v>
      </c>
      <c r="B52" s="2" t="s">
        <v>317</v>
      </c>
      <c r="C52" s="3">
        <v>79</v>
      </c>
      <c r="D52" s="3">
        <v>58</v>
      </c>
      <c r="E52" s="3">
        <v>67</v>
      </c>
      <c r="F52" s="3">
        <v>6</v>
      </c>
      <c r="G52" s="3">
        <v>71</v>
      </c>
      <c r="H52" s="4">
        <f t="shared" si="1"/>
        <v>281</v>
      </c>
    </row>
    <row r="53" spans="1:8" x14ac:dyDescent="0.2">
      <c r="A53" s="2" t="s">
        <v>320</v>
      </c>
      <c r="B53" s="2" t="s">
        <v>321</v>
      </c>
      <c r="C53" s="3">
        <v>52</v>
      </c>
      <c r="D53" s="3">
        <v>61</v>
      </c>
      <c r="E53" s="3">
        <v>20</v>
      </c>
      <c r="F53" s="3">
        <v>33</v>
      </c>
      <c r="G53" s="3">
        <v>46</v>
      </c>
      <c r="H53" s="4">
        <f t="shared" si="1"/>
        <v>212</v>
      </c>
    </row>
    <row r="54" spans="1:8" x14ac:dyDescent="0.2">
      <c r="A54" s="2" t="s">
        <v>324</v>
      </c>
      <c r="B54" s="2" t="s">
        <v>325</v>
      </c>
      <c r="C54" s="3">
        <v>63</v>
      </c>
      <c r="D54" s="3">
        <v>27</v>
      </c>
      <c r="E54" s="3">
        <v>85</v>
      </c>
      <c r="F54" s="3">
        <v>32</v>
      </c>
      <c r="G54" s="3">
        <v>46</v>
      </c>
      <c r="H54" s="4">
        <f t="shared" si="1"/>
        <v>253</v>
      </c>
    </row>
    <row r="57" spans="1:8" x14ac:dyDescent="0.2">
      <c r="A57" s="28" t="s">
        <v>339</v>
      </c>
      <c r="B57" s="16"/>
      <c r="C57" s="16"/>
      <c r="D57" s="16"/>
      <c r="E57" s="16"/>
      <c r="F57" s="16"/>
      <c r="G57" s="16"/>
      <c r="H57" s="16"/>
    </row>
    <row r="58" spans="1:8" x14ac:dyDescent="0.2">
      <c r="A58" s="24" t="s">
        <v>329</v>
      </c>
      <c r="B58" s="25"/>
      <c r="C58" s="25"/>
      <c r="D58" s="26"/>
      <c r="E58" s="16"/>
      <c r="F58" s="16"/>
      <c r="G58" s="16"/>
      <c r="H58" s="16"/>
    </row>
    <row r="59" spans="1:8" x14ac:dyDescent="0.2">
      <c r="A59" s="24" t="s">
        <v>330</v>
      </c>
      <c r="B59" s="25"/>
      <c r="C59" s="25"/>
      <c r="D59" s="26"/>
      <c r="E59" s="16"/>
      <c r="F59" s="16"/>
      <c r="G59" s="16"/>
      <c r="H59" s="16"/>
    </row>
    <row r="60" spans="1:8" x14ac:dyDescent="0.2">
      <c r="A60" s="24" t="s">
        <v>331</v>
      </c>
      <c r="B60" s="25"/>
      <c r="C60" s="25"/>
      <c r="D60" s="26"/>
      <c r="E60" s="16"/>
      <c r="F60" s="16"/>
      <c r="G60" s="16"/>
      <c r="H60" s="16"/>
    </row>
    <row r="61" spans="1:8" x14ac:dyDescent="0.2">
      <c r="A61" s="24" t="s">
        <v>332</v>
      </c>
      <c r="B61" s="25"/>
      <c r="C61" s="25"/>
      <c r="D61" s="26"/>
      <c r="E61" s="16"/>
      <c r="F61" s="16"/>
      <c r="G61" s="16"/>
      <c r="H61" s="16"/>
    </row>
    <row r="62" spans="1:8" x14ac:dyDescent="0.2">
      <c r="A62" s="24" t="s">
        <v>333</v>
      </c>
      <c r="B62" s="25"/>
      <c r="C62" s="25"/>
      <c r="D62" s="26"/>
      <c r="E62" s="16"/>
      <c r="F62" s="16"/>
      <c r="G62" s="16"/>
      <c r="H62" s="16"/>
    </row>
    <row r="63" spans="1:8" x14ac:dyDescent="0.2">
      <c r="A63" s="24" t="s">
        <v>334</v>
      </c>
      <c r="B63" s="25"/>
      <c r="C63" s="25"/>
      <c r="D63" s="26"/>
      <c r="E63" s="16"/>
      <c r="F63" s="16"/>
      <c r="G63" s="16"/>
      <c r="H63" s="16"/>
    </row>
    <row r="64" spans="1:8" x14ac:dyDescent="0.2">
      <c r="A64" s="24" t="s">
        <v>335</v>
      </c>
      <c r="B64" s="25"/>
      <c r="C64" s="25"/>
      <c r="D64" s="26"/>
      <c r="E64" s="16"/>
      <c r="F64" s="16"/>
      <c r="G64" s="16"/>
      <c r="H64" s="16"/>
    </row>
    <row r="65" spans="1:8" x14ac:dyDescent="0.2">
      <c r="A65" s="24" t="s">
        <v>336</v>
      </c>
      <c r="B65" s="25"/>
      <c r="C65" s="25"/>
      <c r="D65" s="26"/>
      <c r="E65" s="16"/>
      <c r="F65" s="16"/>
      <c r="G65" s="16"/>
      <c r="H65" s="16"/>
    </row>
    <row r="66" spans="1:8" x14ac:dyDescent="0.2">
      <c r="A66" s="24" t="s">
        <v>337</v>
      </c>
      <c r="B66" s="25"/>
      <c r="C66" s="25"/>
      <c r="D66" s="26"/>
      <c r="E66" s="16"/>
      <c r="F66" s="16"/>
      <c r="G66" s="16"/>
      <c r="H66" s="16"/>
    </row>
    <row r="67" spans="1:8" x14ac:dyDescent="0.2">
      <c r="A67" s="24" t="s">
        <v>338</v>
      </c>
      <c r="B67" s="25"/>
      <c r="C67" s="25"/>
      <c r="D67" s="26"/>
      <c r="E67" s="16"/>
      <c r="F67" s="16"/>
      <c r="G67" s="16"/>
      <c r="H67" s="16"/>
    </row>
  </sheetData>
  <mergeCells count="22">
    <mergeCell ref="E61:H61"/>
    <mergeCell ref="A62:D62"/>
    <mergeCell ref="A1:H1"/>
    <mergeCell ref="A63:D63"/>
    <mergeCell ref="E66:H66"/>
    <mergeCell ref="A57:H57"/>
    <mergeCell ref="A67:D67"/>
    <mergeCell ref="A58:D58"/>
    <mergeCell ref="E58:H58"/>
    <mergeCell ref="A64:D64"/>
    <mergeCell ref="A59:D59"/>
    <mergeCell ref="E62:H62"/>
    <mergeCell ref="E67:H67"/>
    <mergeCell ref="A60:D60"/>
    <mergeCell ref="A61:D61"/>
    <mergeCell ref="E64:H64"/>
    <mergeCell ref="A65:D65"/>
    <mergeCell ref="E63:H63"/>
    <mergeCell ref="A66:D66"/>
    <mergeCell ref="E60:H60"/>
    <mergeCell ref="E65:H65"/>
    <mergeCell ref="E59:H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23F6-8F2D-DC4F-BC4C-590F54FE3655}">
  <dimension ref="A1:CS58"/>
  <sheetViews>
    <sheetView topLeftCell="BR1" zoomScale="200" zoomScaleNormal="200" workbookViewId="0">
      <selection activeCell="DA16" sqref="DA16"/>
    </sheetView>
  </sheetViews>
  <sheetFormatPr baseColWidth="10" defaultColWidth="8.6640625" defaultRowHeight="15" x14ac:dyDescent="0.2"/>
  <cols>
    <col min="1" max="1" width="6.5" customWidth="1"/>
    <col min="2" max="2" width="7" customWidth="1"/>
    <col min="3" max="7" width="4.6640625" customWidth="1"/>
    <col min="8" max="8" width="6" customWidth="1"/>
    <col min="9" max="13" width="4.6640625" customWidth="1"/>
    <col min="14" max="14" width="2" customWidth="1"/>
    <col min="15" max="15" width="6.5" customWidth="1"/>
    <col min="16" max="16" width="7" customWidth="1"/>
    <col min="17" max="21" width="4.6640625" customWidth="1"/>
    <col min="22" max="22" width="6" customWidth="1"/>
    <col min="23" max="27" width="4.6640625" customWidth="1"/>
    <col min="28" max="28" width="2" customWidth="1"/>
    <col min="29" max="29" width="6.5" customWidth="1"/>
    <col min="30" max="30" width="7" customWidth="1"/>
    <col min="31" max="35" width="4.6640625" customWidth="1"/>
    <col min="36" max="36" width="6" customWidth="1"/>
    <col min="37" max="41" width="4.6640625" customWidth="1"/>
    <col min="42" max="42" width="2" customWidth="1"/>
    <col min="43" max="43" width="6.5" customWidth="1"/>
    <col min="44" max="44" width="7" customWidth="1"/>
    <col min="45" max="49" width="4.6640625" customWidth="1"/>
    <col min="50" max="50" width="6" customWidth="1"/>
    <col min="51" max="55" width="4.6640625" customWidth="1"/>
    <col min="56" max="56" width="2" customWidth="1"/>
    <col min="57" max="57" width="6.5" customWidth="1"/>
    <col min="58" max="58" width="7" customWidth="1"/>
    <col min="59" max="63" width="4.6640625" customWidth="1"/>
    <col min="64" max="64" width="6" customWidth="1"/>
    <col min="65" max="69" width="4.6640625" customWidth="1"/>
    <col min="70" max="70" width="2" customWidth="1"/>
    <col min="71" max="71" width="6.5" customWidth="1"/>
    <col min="72" max="72" width="7" customWidth="1"/>
    <col min="73" max="77" width="4.6640625" customWidth="1"/>
    <col min="78" max="78" width="6" customWidth="1"/>
    <col min="79" max="83" width="4.6640625" customWidth="1"/>
    <col min="84" max="84" width="2" customWidth="1"/>
    <col min="85" max="85" width="6.5" customWidth="1"/>
    <col min="86" max="86" width="7" customWidth="1"/>
    <col min="87" max="91" width="4.6640625" customWidth="1"/>
    <col min="92" max="92" width="6" customWidth="1"/>
    <col min="93" max="97" width="4.6640625" customWidth="1"/>
  </cols>
  <sheetData>
    <row r="1" spans="1:97" ht="20" x14ac:dyDescent="0.2">
      <c r="A1" s="40" t="s">
        <v>747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</row>
    <row r="2" spans="1:97" ht="15.75" customHeight="1" x14ac:dyDescent="0.2">
      <c r="A2" s="41" t="s">
        <v>748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</row>
    <row r="4" spans="1:97" ht="17" x14ac:dyDescent="0.2">
      <c r="A4" s="42" t="s">
        <v>749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O4" s="42" t="s">
        <v>750</v>
      </c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C4" s="42" t="s">
        <v>739</v>
      </c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Q4" s="42" t="s">
        <v>751</v>
      </c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E4" s="42" t="s">
        <v>752</v>
      </c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S4" s="42" t="s">
        <v>753</v>
      </c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G4" s="42" t="s">
        <v>364</v>
      </c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</row>
    <row r="5" spans="1:97" ht="18" customHeight="1" x14ac:dyDescent="0.2">
      <c r="A5" s="43" t="s">
        <v>4</v>
      </c>
      <c r="B5" s="43" t="s">
        <v>368</v>
      </c>
      <c r="C5" s="43" t="s">
        <v>6</v>
      </c>
      <c r="D5" s="43" t="s">
        <v>7</v>
      </c>
      <c r="E5" s="43" t="s">
        <v>8</v>
      </c>
      <c r="F5" s="43" t="s">
        <v>9</v>
      </c>
      <c r="G5" s="43" t="s">
        <v>10</v>
      </c>
      <c r="H5" s="43" t="s">
        <v>754</v>
      </c>
      <c r="I5" s="43" t="s">
        <v>740</v>
      </c>
      <c r="J5" s="43" t="s">
        <v>741</v>
      </c>
      <c r="K5" s="43" t="s">
        <v>742</v>
      </c>
      <c r="L5" s="43" t="s">
        <v>743</v>
      </c>
      <c r="M5" s="43" t="s">
        <v>744</v>
      </c>
      <c r="O5" s="43" t="s">
        <v>4</v>
      </c>
      <c r="P5" s="43" t="s">
        <v>368</v>
      </c>
      <c r="Q5" s="43" t="s">
        <v>6</v>
      </c>
      <c r="R5" s="43" t="s">
        <v>7</v>
      </c>
      <c r="S5" s="43" t="s">
        <v>8</v>
      </c>
      <c r="T5" s="43" t="s">
        <v>9</v>
      </c>
      <c r="U5" s="43" t="s">
        <v>10</v>
      </c>
      <c r="V5" s="43" t="s">
        <v>754</v>
      </c>
      <c r="W5" s="43" t="s">
        <v>740</v>
      </c>
      <c r="X5" s="43" t="s">
        <v>741</v>
      </c>
      <c r="Y5" s="43" t="s">
        <v>742</v>
      </c>
      <c r="Z5" s="43" t="s">
        <v>743</v>
      </c>
      <c r="AA5" s="43" t="s">
        <v>744</v>
      </c>
      <c r="AC5" s="43" t="s">
        <v>4</v>
      </c>
      <c r="AD5" s="43" t="s">
        <v>368</v>
      </c>
      <c r="AE5" s="43" t="s">
        <v>6</v>
      </c>
      <c r="AF5" s="43" t="s">
        <v>7</v>
      </c>
      <c r="AG5" s="43" t="s">
        <v>8</v>
      </c>
      <c r="AH5" s="43" t="s">
        <v>9</v>
      </c>
      <c r="AI5" s="43" t="s">
        <v>10</v>
      </c>
      <c r="AJ5" s="43" t="s">
        <v>754</v>
      </c>
      <c r="AK5" s="43" t="s">
        <v>740</v>
      </c>
      <c r="AL5" s="43" t="s">
        <v>741</v>
      </c>
      <c r="AM5" s="43" t="s">
        <v>742</v>
      </c>
      <c r="AN5" s="43" t="s">
        <v>743</v>
      </c>
      <c r="AO5" s="43" t="s">
        <v>744</v>
      </c>
      <c r="AQ5" s="43" t="s">
        <v>4</v>
      </c>
      <c r="AR5" s="43" t="s">
        <v>368</v>
      </c>
      <c r="AS5" s="43" t="s">
        <v>6</v>
      </c>
      <c r="AT5" s="43" t="s">
        <v>7</v>
      </c>
      <c r="AU5" s="43" t="s">
        <v>8</v>
      </c>
      <c r="AV5" s="43" t="s">
        <v>9</v>
      </c>
      <c r="AW5" s="43" t="s">
        <v>10</v>
      </c>
      <c r="AX5" s="43" t="s">
        <v>754</v>
      </c>
      <c r="AY5" s="43" t="s">
        <v>740</v>
      </c>
      <c r="AZ5" s="43" t="s">
        <v>741</v>
      </c>
      <c r="BA5" s="43" t="s">
        <v>742</v>
      </c>
      <c r="BB5" s="43" t="s">
        <v>743</v>
      </c>
      <c r="BC5" s="43" t="s">
        <v>744</v>
      </c>
      <c r="BE5" s="43" t="s">
        <v>4</v>
      </c>
      <c r="BF5" s="43" t="s">
        <v>368</v>
      </c>
      <c r="BG5" s="43" t="s">
        <v>6</v>
      </c>
      <c r="BH5" s="43" t="s">
        <v>7</v>
      </c>
      <c r="BI5" s="43" t="s">
        <v>8</v>
      </c>
      <c r="BJ5" s="43" t="s">
        <v>9</v>
      </c>
      <c r="BK5" s="43" t="s">
        <v>10</v>
      </c>
      <c r="BL5" s="43" t="s">
        <v>754</v>
      </c>
      <c r="BM5" s="43" t="s">
        <v>740</v>
      </c>
      <c r="BN5" s="43" t="s">
        <v>741</v>
      </c>
      <c r="BO5" s="43" t="s">
        <v>742</v>
      </c>
      <c r="BP5" s="43" t="s">
        <v>743</v>
      </c>
      <c r="BQ5" s="43" t="s">
        <v>744</v>
      </c>
      <c r="BS5" s="43" t="s">
        <v>4</v>
      </c>
      <c r="BT5" s="43" t="s">
        <v>368</v>
      </c>
      <c r="BU5" s="43" t="s">
        <v>6</v>
      </c>
      <c r="BV5" s="43" t="s">
        <v>7</v>
      </c>
      <c r="BW5" s="43" t="s">
        <v>8</v>
      </c>
      <c r="BX5" s="43" t="s">
        <v>9</v>
      </c>
      <c r="BY5" s="43" t="s">
        <v>10</v>
      </c>
      <c r="BZ5" s="43" t="s">
        <v>754</v>
      </c>
      <c r="CA5" s="43" t="s">
        <v>740</v>
      </c>
      <c r="CB5" s="43" t="s">
        <v>741</v>
      </c>
      <c r="CC5" s="43" t="s">
        <v>742</v>
      </c>
      <c r="CD5" s="43" t="s">
        <v>743</v>
      </c>
      <c r="CE5" s="43" t="s">
        <v>744</v>
      </c>
      <c r="CG5" s="43" t="s">
        <v>4</v>
      </c>
      <c r="CH5" s="43" t="s">
        <v>368</v>
      </c>
      <c r="CI5" s="43" t="s">
        <v>6</v>
      </c>
      <c r="CJ5" s="43" t="s">
        <v>7</v>
      </c>
      <c r="CK5" s="43" t="s">
        <v>8</v>
      </c>
      <c r="CL5" s="43" t="s">
        <v>9</v>
      </c>
      <c r="CM5" s="43" t="s">
        <v>10</v>
      </c>
      <c r="CN5" s="43" t="s">
        <v>754</v>
      </c>
      <c r="CO5" s="43" t="s">
        <v>740</v>
      </c>
      <c r="CP5" s="43" t="s">
        <v>741</v>
      </c>
      <c r="CQ5" s="43" t="s">
        <v>742</v>
      </c>
      <c r="CR5" s="43" t="s">
        <v>743</v>
      </c>
      <c r="CS5" s="43" t="s">
        <v>744</v>
      </c>
    </row>
    <row r="6" spans="1:97" x14ac:dyDescent="0.2">
      <c r="A6" s="44">
        <v>1995</v>
      </c>
      <c r="B6" s="44" t="s">
        <v>380</v>
      </c>
      <c r="C6" s="45">
        <v>51</v>
      </c>
      <c r="D6" s="45">
        <v>25</v>
      </c>
      <c r="E6" s="45">
        <v>77</v>
      </c>
      <c r="F6" s="45">
        <v>63</v>
      </c>
      <c r="G6" s="45">
        <v>73</v>
      </c>
      <c r="H6" s="46">
        <f t="shared" ref="H6:H57" si="0">SUM(C6:G6)</f>
        <v>289</v>
      </c>
      <c r="I6" s="45">
        <v>58</v>
      </c>
      <c r="J6" s="45">
        <v>29</v>
      </c>
      <c r="K6" s="45">
        <v>66</v>
      </c>
      <c r="L6" s="45">
        <v>13</v>
      </c>
      <c r="M6" s="45">
        <v>47</v>
      </c>
      <c r="O6" s="44">
        <v>1788</v>
      </c>
      <c r="P6" s="44" t="s">
        <v>376</v>
      </c>
      <c r="Q6" s="45">
        <v>82</v>
      </c>
      <c r="R6" s="45">
        <v>15</v>
      </c>
      <c r="S6" s="45">
        <v>32</v>
      </c>
      <c r="T6" s="45">
        <v>47</v>
      </c>
      <c r="U6" s="45">
        <v>79</v>
      </c>
      <c r="V6" s="46">
        <f t="shared" ref="V6:V57" si="1">SUM(Q6:U6)</f>
        <v>255</v>
      </c>
      <c r="W6" s="47">
        <v>57</v>
      </c>
      <c r="X6" s="45">
        <v>4</v>
      </c>
      <c r="Y6" s="45">
        <v>61</v>
      </c>
      <c r="Z6" s="47">
        <v>42</v>
      </c>
      <c r="AA6" s="47">
        <v>24</v>
      </c>
      <c r="AC6" s="44">
        <v>1579</v>
      </c>
      <c r="AD6" s="44" t="s">
        <v>377</v>
      </c>
      <c r="AE6" s="45">
        <v>86</v>
      </c>
      <c r="AF6" s="45">
        <v>36</v>
      </c>
      <c r="AG6" s="45">
        <v>24</v>
      </c>
      <c r="AH6" s="45">
        <v>48</v>
      </c>
      <c r="AI6" s="45">
        <v>37</v>
      </c>
      <c r="AJ6" s="46">
        <f t="shared" ref="AJ6:AJ57" si="2">SUM(AE6:AI6)</f>
        <v>231</v>
      </c>
      <c r="AK6" s="45">
        <v>58</v>
      </c>
      <c r="AL6" s="45">
        <v>9</v>
      </c>
      <c r="AM6" s="45">
        <v>90</v>
      </c>
      <c r="AN6" s="45">
        <v>35</v>
      </c>
      <c r="AO6" s="45">
        <v>3</v>
      </c>
      <c r="AQ6" s="44">
        <v>1005</v>
      </c>
      <c r="AR6" s="44" t="s">
        <v>377</v>
      </c>
      <c r="AS6" s="45">
        <v>66</v>
      </c>
      <c r="AT6" s="45">
        <v>33</v>
      </c>
      <c r="AU6" s="45">
        <v>83</v>
      </c>
      <c r="AV6" s="45">
        <v>52</v>
      </c>
      <c r="AW6" s="45">
        <v>8</v>
      </c>
      <c r="AX6" s="46">
        <f t="shared" ref="AX6:AX57" si="3">SUM(AS6:AW6)</f>
        <v>242</v>
      </c>
      <c r="AY6" s="45">
        <v>36</v>
      </c>
      <c r="AZ6" s="45">
        <v>64</v>
      </c>
      <c r="BA6" s="45">
        <v>73</v>
      </c>
      <c r="BB6" s="45">
        <v>87</v>
      </c>
      <c r="BC6" s="45">
        <v>32</v>
      </c>
      <c r="BE6" s="44">
        <v>901</v>
      </c>
      <c r="BF6" s="44" t="s">
        <v>375</v>
      </c>
      <c r="BG6" s="45">
        <v>6</v>
      </c>
      <c r="BH6" s="45">
        <v>9</v>
      </c>
      <c r="BI6" s="45">
        <v>59</v>
      </c>
      <c r="BJ6" s="45">
        <v>89</v>
      </c>
      <c r="BK6" s="45">
        <v>21</v>
      </c>
      <c r="BL6" s="46">
        <f t="shared" ref="BL6:BL57" si="4">SUM(BG6:BK6)</f>
        <v>184</v>
      </c>
      <c r="BM6" s="45">
        <v>56</v>
      </c>
      <c r="BN6" s="45">
        <v>43</v>
      </c>
      <c r="BO6" s="45">
        <v>3</v>
      </c>
      <c r="BP6" s="45">
        <v>46</v>
      </c>
      <c r="BQ6" s="45">
        <v>53</v>
      </c>
      <c r="BS6" s="44">
        <v>589</v>
      </c>
      <c r="BT6" s="44" t="s">
        <v>375</v>
      </c>
      <c r="BU6" s="45">
        <v>28</v>
      </c>
      <c r="BV6" s="45">
        <v>52</v>
      </c>
      <c r="BW6" s="45">
        <v>53</v>
      </c>
      <c r="BX6" s="45">
        <v>12</v>
      </c>
      <c r="BY6" s="45">
        <v>25</v>
      </c>
      <c r="BZ6" s="48">
        <f t="shared" ref="BZ6:BZ57" si="5">SUM(BU6:BY6)</f>
        <v>170</v>
      </c>
      <c r="CA6" s="45">
        <v>14</v>
      </c>
      <c r="CB6" s="45">
        <v>48</v>
      </c>
      <c r="CC6" s="45">
        <v>56</v>
      </c>
      <c r="CD6" s="45">
        <v>81</v>
      </c>
      <c r="CE6" s="45">
        <v>77</v>
      </c>
      <c r="CG6" s="44">
        <v>484</v>
      </c>
      <c r="CH6" s="44" t="s">
        <v>378</v>
      </c>
      <c r="CI6" s="45">
        <v>7</v>
      </c>
      <c r="CJ6" s="45">
        <v>86</v>
      </c>
      <c r="CK6" s="45">
        <v>18</v>
      </c>
      <c r="CL6" s="45">
        <v>71</v>
      </c>
      <c r="CM6" s="45">
        <v>21</v>
      </c>
      <c r="CN6" s="46">
        <f t="shared" ref="CN6:CN58" si="6">SUM(CI6:CM6)</f>
        <v>203</v>
      </c>
      <c r="CO6" s="45">
        <v>72</v>
      </c>
      <c r="CP6" s="45">
        <v>64</v>
      </c>
      <c r="CQ6" s="45">
        <v>32</v>
      </c>
      <c r="CR6" s="45">
        <v>37</v>
      </c>
      <c r="CS6" s="45">
        <v>88</v>
      </c>
    </row>
    <row r="7" spans="1:97" x14ac:dyDescent="0.2">
      <c r="A7" s="49">
        <v>1996</v>
      </c>
      <c r="B7" s="49" t="s">
        <v>388</v>
      </c>
      <c r="C7" s="50">
        <v>52</v>
      </c>
      <c r="D7" s="50">
        <v>65</v>
      </c>
      <c r="E7" s="50">
        <v>40</v>
      </c>
      <c r="F7" s="50">
        <v>14</v>
      </c>
      <c r="G7" s="50">
        <v>48</v>
      </c>
      <c r="H7" s="46">
        <f t="shared" si="0"/>
        <v>219</v>
      </c>
      <c r="I7" s="50">
        <v>23</v>
      </c>
      <c r="J7" s="50">
        <v>85</v>
      </c>
      <c r="K7" s="50">
        <v>19</v>
      </c>
      <c r="L7" s="50">
        <v>29</v>
      </c>
      <c r="M7" s="50">
        <v>68</v>
      </c>
      <c r="O7" s="49">
        <v>1789</v>
      </c>
      <c r="P7" s="49" t="s">
        <v>384</v>
      </c>
      <c r="Q7" s="50">
        <v>21</v>
      </c>
      <c r="R7" s="50">
        <v>3</v>
      </c>
      <c r="S7" s="50">
        <v>47</v>
      </c>
      <c r="T7" s="50">
        <v>39</v>
      </c>
      <c r="U7" s="50">
        <v>36</v>
      </c>
      <c r="V7" s="51">
        <f t="shared" si="1"/>
        <v>146</v>
      </c>
      <c r="W7" s="50">
        <v>68</v>
      </c>
      <c r="X7" s="50">
        <v>74</v>
      </c>
      <c r="Y7" s="50">
        <v>89</v>
      </c>
      <c r="Z7" s="50">
        <v>67</v>
      </c>
      <c r="AA7" s="50">
        <v>49</v>
      </c>
      <c r="AC7" s="49">
        <v>1580</v>
      </c>
      <c r="AD7" s="49" t="s">
        <v>385</v>
      </c>
      <c r="AE7" s="50">
        <v>54</v>
      </c>
      <c r="AF7" s="50">
        <v>64</v>
      </c>
      <c r="AG7" s="50">
        <v>29</v>
      </c>
      <c r="AH7" s="50">
        <v>22</v>
      </c>
      <c r="AI7" s="50">
        <v>82</v>
      </c>
      <c r="AJ7" s="46">
        <f t="shared" si="2"/>
        <v>251</v>
      </c>
      <c r="AK7" s="50">
        <v>49</v>
      </c>
      <c r="AL7" s="50">
        <v>59</v>
      </c>
      <c r="AM7" s="50">
        <v>32</v>
      </c>
      <c r="AN7" s="50">
        <v>33</v>
      </c>
      <c r="AO7" s="50">
        <v>48</v>
      </c>
      <c r="AQ7" s="49">
        <v>1006</v>
      </c>
      <c r="AR7" s="49" t="s">
        <v>385</v>
      </c>
      <c r="AS7" s="50">
        <v>80</v>
      </c>
      <c r="AT7" s="50">
        <v>65</v>
      </c>
      <c r="AU7" s="50">
        <v>22</v>
      </c>
      <c r="AV7" s="50">
        <v>69</v>
      </c>
      <c r="AW7" s="50">
        <v>27</v>
      </c>
      <c r="AX7" s="46">
        <f t="shared" si="3"/>
        <v>263</v>
      </c>
      <c r="AY7" s="50">
        <v>26</v>
      </c>
      <c r="AZ7" s="50">
        <v>64</v>
      </c>
      <c r="BA7" s="50">
        <v>83</v>
      </c>
      <c r="BB7" s="50">
        <v>79</v>
      </c>
      <c r="BC7" s="50">
        <v>59</v>
      </c>
      <c r="BE7" s="49">
        <v>902</v>
      </c>
      <c r="BF7" s="49" t="s">
        <v>383</v>
      </c>
      <c r="BG7" s="50">
        <v>78</v>
      </c>
      <c r="BH7" s="50">
        <v>27</v>
      </c>
      <c r="BI7" s="50">
        <v>24</v>
      </c>
      <c r="BJ7" s="50">
        <v>28</v>
      </c>
      <c r="BK7" s="50">
        <v>37</v>
      </c>
      <c r="BL7" s="46">
        <f t="shared" si="4"/>
        <v>194</v>
      </c>
      <c r="BM7" s="50">
        <v>74</v>
      </c>
      <c r="BN7" s="50">
        <v>83</v>
      </c>
      <c r="BO7" s="50">
        <v>60</v>
      </c>
      <c r="BP7" s="50">
        <v>8</v>
      </c>
      <c r="BQ7" s="50">
        <v>63</v>
      </c>
      <c r="BS7" s="49">
        <v>590</v>
      </c>
      <c r="BT7" s="49" t="s">
        <v>383</v>
      </c>
      <c r="BU7" s="50">
        <v>58</v>
      </c>
      <c r="BV7" s="50">
        <v>37</v>
      </c>
      <c r="BW7" s="50">
        <v>49</v>
      </c>
      <c r="BX7" s="50">
        <v>3</v>
      </c>
      <c r="BY7" s="50">
        <v>60</v>
      </c>
      <c r="BZ7" s="46">
        <f t="shared" si="5"/>
        <v>207</v>
      </c>
      <c r="CA7" s="50">
        <v>85</v>
      </c>
      <c r="CB7" s="50">
        <v>62</v>
      </c>
      <c r="CC7" s="50">
        <v>28</v>
      </c>
      <c r="CD7" s="50">
        <v>69</v>
      </c>
      <c r="CE7" s="50">
        <v>33</v>
      </c>
      <c r="CG7" s="49">
        <v>485</v>
      </c>
      <c r="CH7" s="49" t="s">
        <v>386</v>
      </c>
      <c r="CI7" s="50">
        <v>27</v>
      </c>
      <c r="CJ7" s="47">
        <v>42</v>
      </c>
      <c r="CK7" s="50">
        <v>52</v>
      </c>
      <c r="CL7" s="50">
        <v>45</v>
      </c>
      <c r="CM7" s="47">
        <v>24</v>
      </c>
      <c r="CN7" s="46">
        <f t="shared" si="6"/>
        <v>190</v>
      </c>
      <c r="CO7" s="47">
        <v>57</v>
      </c>
      <c r="CP7" s="50">
        <v>71</v>
      </c>
      <c r="CQ7" s="50">
        <v>51</v>
      </c>
      <c r="CR7" s="50">
        <v>2</v>
      </c>
      <c r="CS7" s="50">
        <v>48</v>
      </c>
    </row>
    <row r="8" spans="1:97" x14ac:dyDescent="0.2">
      <c r="A8" s="44">
        <v>1997</v>
      </c>
      <c r="B8" s="44" t="s">
        <v>396</v>
      </c>
      <c r="C8" s="45">
        <v>26</v>
      </c>
      <c r="D8" s="45">
        <v>83</v>
      </c>
      <c r="E8" s="45">
        <v>87</v>
      </c>
      <c r="F8" s="45">
        <v>39</v>
      </c>
      <c r="G8" s="45">
        <v>3</v>
      </c>
      <c r="H8" s="46">
        <f t="shared" si="0"/>
        <v>238</v>
      </c>
      <c r="I8" s="45">
        <v>75</v>
      </c>
      <c r="J8" s="45">
        <v>36</v>
      </c>
      <c r="K8" s="45">
        <v>18</v>
      </c>
      <c r="L8" s="45">
        <v>89</v>
      </c>
      <c r="M8" s="45">
        <v>85</v>
      </c>
      <c r="O8" s="44">
        <v>1790</v>
      </c>
      <c r="P8" s="44" t="s">
        <v>392</v>
      </c>
      <c r="Q8" s="45">
        <v>71</v>
      </c>
      <c r="R8" s="45">
        <v>29</v>
      </c>
      <c r="S8" s="45">
        <v>83</v>
      </c>
      <c r="T8" s="45">
        <v>39</v>
      </c>
      <c r="U8" s="45">
        <v>36</v>
      </c>
      <c r="V8" s="46">
        <f t="shared" si="1"/>
        <v>258</v>
      </c>
      <c r="W8" s="45">
        <v>79</v>
      </c>
      <c r="X8" s="45">
        <v>80</v>
      </c>
      <c r="Y8" s="45">
        <v>19</v>
      </c>
      <c r="Z8" s="45">
        <v>67</v>
      </c>
      <c r="AA8" s="45">
        <v>49</v>
      </c>
      <c r="AC8" s="44">
        <v>1581</v>
      </c>
      <c r="AD8" s="44" t="s">
        <v>393</v>
      </c>
      <c r="AE8" s="45">
        <v>18</v>
      </c>
      <c r="AF8" s="45">
        <v>36</v>
      </c>
      <c r="AG8" s="45">
        <v>26</v>
      </c>
      <c r="AH8" s="45">
        <v>71</v>
      </c>
      <c r="AI8" s="45">
        <v>13</v>
      </c>
      <c r="AJ8" s="48">
        <f t="shared" si="2"/>
        <v>164</v>
      </c>
      <c r="AK8" s="45">
        <v>65</v>
      </c>
      <c r="AL8" s="45">
        <v>6</v>
      </c>
      <c r="AM8" s="45">
        <v>49</v>
      </c>
      <c r="AN8" s="45">
        <v>63</v>
      </c>
      <c r="AO8" s="45">
        <v>40</v>
      </c>
      <c r="AQ8" s="44">
        <v>1007</v>
      </c>
      <c r="AR8" s="44" t="s">
        <v>393</v>
      </c>
      <c r="AS8" s="45">
        <v>65</v>
      </c>
      <c r="AT8" s="45">
        <v>74</v>
      </c>
      <c r="AU8" s="45">
        <v>23</v>
      </c>
      <c r="AV8" s="45">
        <v>27</v>
      </c>
      <c r="AW8" s="45">
        <v>12</v>
      </c>
      <c r="AX8" s="46">
        <f t="shared" si="3"/>
        <v>201</v>
      </c>
      <c r="AY8" s="45">
        <v>34</v>
      </c>
      <c r="AZ8" s="45">
        <v>45</v>
      </c>
      <c r="BA8" s="45">
        <v>46</v>
      </c>
      <c r="BB8" s="45">
        <v>75</v>
      </c>
      <c r="BC8" s="45">
        <v>56</v>
      </c>
      <c r="BE8" s="44">
        <v>903</v>
      </c>
      <c r="BF8" s="44" t="s">
        <v>391</v>
      </c>
      <c r="BG8" s="45">
        <v>11</v>
      </c>
      <c r="BH8" s="45">
        <v>78</v>
      </c>
      <c r="BI8" s="45">
        <v>48</v>
      </c>
      <c r="BJ8" s="45">
        <v>20</v>
      </c>
      <c r="BK8" s="45">
        <v>71</v>
      </c>
      <c r="BL8" s="46">
        <f t="shared" si="4"/>
        <v>228</v>
      </c>
      <c r="BM8" s="45">
        <v>51</v>
      </c>
      <c r="BN8" s="45">
        <v>6</v>
      </c>
      <c r="BO8" s="45">
        <v>56</v>
      </c>
      <c r="BP8" s="45">
        <v>16</v>
      </c>
      <c r="BQ8" s="45">
        <v>79</v>
      </c>
      <c r="BS8" s="44">
        <v>591</v>
      </c>
      <c r="BT8" s="44" t="s">
        <v>391</v>
      </c>
      <c r="BU8" s="45">
        <v>81</v>
      </c>
      <c r="BV8" s="45">
        <v>51</v>
      </c>
      <c r="BW8" s="45">
        <v>5</v>
      </c>
      <c r="BX8" s="45">
        <v>88</v>
      </c>
      <c r="BY8" s="45">
        <v>58</v>
      </c>
      <c r="BZ8" s="46">
        <f t="shared" si="5"/>
        <v>283</v>
      </c>
      <c r="CA8" s="45">
        <v>74</v>
      </c>
      <c r="CB8" s="45">
        <v>70</v>
      </c>
      <c r="CC8" s="45">
        <v>56</v>
      </c>
      <c r="CD8" s="45">
        <v>10</v>
      </c>
      <c r="CE8" s="45">
        <v>4</v>
      </c>
      <c r="CG8" s="44">
        <v>486</v>
      </c>
      <c r="CH8" s="44" t="s">
        <v>394</v>
      </c>
      <c r="CI8" s="45">
        <v>79</v>
      </c>
      <c r="CJ8" s="45">
        <v>73</v>
      </c>
      <c r="CK8" s="45">
        <v>52</v>
      </c>
      <c r="CL8" s="45">
        <v>35</v>
      </c>
      <c r="CM8" s="45">
        <v>17</v>
      </c>
      <c r="CN8" s="46">
        <f t="shared" si="6"/>
        <v>256</v>
      </c>
      <c r="CO8" s="45">
        <v>36</v>
      </c>
      <c r="CP8" s="45">
        <v>18</v>
      </c>
      <c r="CQ8" s="45">
        <v>9</v>
      </c>
      <c r="CR8" s="45">
        <v>47</v>
      </c>
      <c r="CS8" s="45">
        <v>10</v>
      </c>
    </row>
    <row r="9" spans="1:97" x14ac:dyDescent="0.2">
      <c r="A9" s="49">
        <v>1998</v>
      </c>
      <c r="B9" s="49" t="s">
        <v>404</v>
      </c>
      <c r="C9" s="50">
        <v>54</v>
      </c>
      <c r="D9" s="50">
        <v>52</v>
      </c>
      <c r="E9" s="50">
        <v>61</v>
      </c>
      <c r="F9" s="50">
        <v>8</v>
      </c>
      <c r="G9" s="50">
        <v>77</v>
      </c>
      <c r="H9" s="46">
        <f t="shared" si="0"/>
        <v>252</v>
      </c>
      <c r="I9" s="50">
        <v>43</v>
      </c>
      <c r="J9" s="50">
        <v>51</v>
      </c>
      <c r="K9" s="50">
        <v>15</v>
      </c>
      <c r="L9" s="50">
        <v>73</v>
      </c>
      <c r="M9" s="50">
        <v>44</v>
      </c>
      <c r="O9" s="49">
        <v>1791</v>
      </c>
      <c r="P9" s="49" t="s">
        <v>400</v>
      </c>
      <c r="Q9" s="50">
        <v>73</v>
      </c>
      <c r="R9" s="50">
        <v>16</v>
      </c>
      <c r="S9" s="50">
        <v>42</v>
      </c>
      <c r="T9" s="50">
        <v>55</v>
      </c>
      <c r="U9" s="50">
        <v>90</v>
      </c>
      <c r="V9" s="46">
        <f t="shared" si="1"/>
        <v>276</v>
      </c>
      <c r="W9" s="50">
        <v>29</v>
      </c>
      <c r="X9" s="50">
        <v>17</v>
      </c>
      <c r="Y9" s="50">
        <v>60</v>
      </c>
      <c r="Z9" s="50">
        <v>7</v>
      </c>
      <c r="AA9" s="50">
        <v>38</v>
      </c>
      <c r="AC9" s="49">
        <v>1582</v>
      </c>
      <c r="AD9" s="49" t="s">
        <v>401</v>
      </c>
      <c r="AE9" s="50">
        <v>69</v>
      </c>
      <c r="AF9" s="50">
        <v>12</v>
      </c>
      <c r="AG9" s="50">
        <v>35</v>
      </c>
      <c r="AH9" s="50">
        <v>36</v>
      </c>
      <c r="AI9" s="50">
        <v>9</v>
      </c>
      <c r="AJ9" s="51">
        <f t="shared" si="2"/>
        <v>161</v>
      </c>
      <c r="AK9" s="50">
        <v>64</v>
      </c>
      <c r="AL9" s="50">
        <v>58</v>
      </c>
      <c r="AM9" s="50">
        <v>66</v>
      </c>
      <c r="AN9" s="50">
        <v>60</v>
      </c>
      <c r="AO9" s="50">
        <v>3</v>
      </c>
      <c r="AQ9" s="49">
        <v>1008</v>
      </c>
      <c r="AR9" s="49" t="s">
        <v>401</v>
      </c>
      <c r="AS9" s="50">
        <v>64</v>
      </c>
      <c r="AT9" s="50">
        <v>48</v>
      </c>
      <c r="AU9" s="50">
        <v>51</v>
      </c>
      <c r="AV9" s="50">
        <v>45</v>
      </c>
      <c r="AW9" s="50">
        <v>57</v>
      </c>
      <c r="AX9" s="46">
        <f t="shared" si="3"/>
        <v>265</v>
      </c>
      <c r="AY9" s="50">
        <v>28</v>
      </c>
      <c r="AZ9" s="50">
        <v>39</v>
      </c>
      <c r="BA9" s="50">
        <v>90</v>
      </c>
      <c r="BB9" s="50">
        <v>3</v>
      </c>
      <c r="BC9" s="50">
        <v>86</v>
      </c>
      <c r="BE9" s="49">
        <v>904</v>
      </c>
      <c r="BF9" s="49" t="s">
        <v>399</v>
      </c>
      <c r="BG9" s="50">
        <v>52</v>
      </c>
      <c r="BH9" s="50">
        <v>34</v>
      </c>
      <c r="BI9" s="50">
        <v>76</v>
      </c>
      <c r="BJ9" s="50">
        <v>19</v>
      </c>
      <c r="BK9" s="50">
        <v>5</v>
      </c>
      <c r="BL9" s="46">
        <f t="shared" si="4"/>
        <v>186</v>
      </c>
      <c r="BM9" s="50">
        <v>49</v>
      </c>
      <c r="BN9" s="50">
        <v>50</v>
      </c>
      <c r="BO9" s="50">
        <v>58</v>
      </c>
      <c r="BP9" s="50">
        <v>31</v>
      </c>
      <c r="BQ9" s="50">
        <v>55</v>
      </c>
      <c r="BS9" s="49">
        <v>592</v>
      </c>
      <c r="BT9" s="49" t="s">
        <v>399</v>
      </c>
      <c r="BU9" s="50">
        <v>70</v>
      </c>
      <c r="BV9" s="50">
        <v>37</v>
      </c>
      <c r="BW9" s="50">
        <v>11</v>
      </c>
      <c r="BX9" s="50">
        <v>19</v>
      </c>
      <c r="BY9" s="50">
        <v>73</v>
      </c>
      <c r="BZ9" s="46">
        <f t="shared" si="5"/>
        <v>210</v>
      </c>
      <c r="CA9" s="50">
        <v>49</v>
      </c>
      <c r="CB9" s="50">
        <v>48</v>
      </c>
      <c r="CC9" s="50">
        <v>55</v>
      </c>
      <c r="CD9" s="50">
        <v>58</v>
      </c>
      <c r="CE9" s="50">
        <v>22</v>
      </c>
      <c r="CG9" s="49">
        <v>487</v>
      </c>
      <c r="CH9" s="49" t="s">
        <v>402</v>
      </c>
      <c r="CI9" s="50">
        <v>57</v>
      </c>
      <c r="CJ9" s="50">
        <v>81</v>
      </c>
      <c r="CK9" s="50">
        <v>29</v>
      </c>
      <c r="CL9" s="50">
        <v>12</v>
      </c>
      <c r="CM9" s="50">
        <v>76</v>
      </c>
      <c r="CN9" s="46">
        <f t="shared" si="6"/>
        <v>255</v>
      </c>
      <c r="CO9" s="50">
        <v>53</v>
      </c>
      <c r="CP9" s="50">
        <v>58</v>
      </c>
      <c r="CQ9" s="50">
        <v>68</v>
      </c>
      <c r="CR9" s="50">
        <v>32</v>
      </c>
      <c r="CS9" s="50">
        <v>59</v>
      </c>
    </row>
    <row r="10" spans="1:97" x14ac:dyDescent="0.2">
      <c r="A10" s="44">
        <v>1999</v>
      </c>
      <c r="B10" s="44" t="s">
        <v>412</v>
      </c>
      <c r="C10" s="45">
        <v>35</v>
      </c>
      <c r="D10" s="45">
        <v>48</v>
      </c>
      <c r="E10" s="45">
        <v>54</v>
      </c>
      <c r="F10" s="45">
        <v>78</v>
      </c>
      <c r="G10" s="45">
        <v>56</v>
      </c>
      <c r="H10" s="46">
        <f t="shared" si="0"/>
        <v>271</v>
      </c>
      <c r="I10" s="45">
        <v>16</v>
      </c>
      <c r="J10" s="45">
        <v>55</v>
      </c>
      <c r="K10" s="45">
        <v>73</v>
      </c>
      <c r="L10" s="45">
        <v>29</v>
      </c>
      <c r="M10" s="45">
        <v>70</v>
      </c>
      <c r="O10" s="44">
        <v>1792</v>
      </c>
      <c r="P10" s="44" t="s">
        <v>408</v>
      </c>
      <c r="Q10" s="45">
        <v>16</v>
      </c>
      <c r="R10" s="45">
        <v>68</v>
      </c>
      <c r="S10" s="45">
        <v>19</v>
      </c>
      <c r="T10" s="45">
        <v>4</v>
      </c>
      <c r="U10" s="45">
        <v>36</v>
      </c>
      <c r="V10" s="48">
        <f t="shared" si="1"/>
        <v>143</v>
      </c>
      <c r="W10" s="45">
        <v>15</v>
      </c>
      <c r="X10" s="45">
        <v>31</v>
      </c>
      <c r="Y10" s="45">
        <v>90</v>
      </c>
      <c r="Z10" s="45">
        <v>26</v>
      </c>
      <c r="AA10" s="45">
        <v>25</v>
      </c>
      <c r="AC10" s="44">
        <v>1583</v>
      </c>
      <c r="AD10" s="44" t="s">
        <v>409</v>
      </c>
      <c r="AE10" s="45">
        <v>57</v>
      </c>
      <c r="AF10" s="45">
        <v>82</v>
      </c>
      <c r="AG10" s="45">
        <v>81</v>
      </c>
      <c r="AH10" s="45">
        <v>26</v>
      </c>
      <c r="AI10" s="45">
        <v>32</v>
      </c>
      <c r="AJ10" s="46">
        <f t="shared" si="2"/>
        <v>278</v>
      </c>
      <c r="AK10" s="45">
        <v>21</v>
      </c>
      <c r="AL10" s="45">
        <v>5</v>
      </c>
      <c r="AM10" s="45">
        <v>37</v>
      </c>
      <c r="AN10" s="45">
        <v>17</v>
      </c>
      <c r="AO10" s="45">
        <v>28</v>
      </c>
      <c r="AQ10" s="44">
        <v>1009</v>
      </c>
      <c r="AR10" s="44" t="s">
        <v>409</v>
      </c>
      <c r="AS10" s="45">
        <v>50</v>
      </c>
      <c r="AT10" s="45">
        <v>79</v>
      </c>
      <c r="AU10" s="45">
        <v>76</v>
      </c>
      <c r="AV10" s="45">
        <v>53</v>
      </c>
      <c r="AW10" s="45">
        <v>86</v>
      </c>
      <c r="AX10" s="46">
        <f t="shared" si="3"/>
        <v>344</v>
      </c>
      <c r="AY10" s="45">
        <v>31</v>
      </c>
      <c r="AZ10" s="45">
        <v>8</v>
      </c>
      <c r="BA10" s="45">
        <v>23</v>
      </c>
      <c r="BB10" s="45">
        <v>58</v>
      </c>
      <c r="BC10" s="45">
        <v>2</v>
      </c>
      <c r="BE10" s="44">
        <v>905</v>
      </c>
      <c r="BF10" s="44" t="s">
        <v>407</v>
      </c>
      <c r="BG10" s="45">
        <v>28</v>
      </c>
      <c r="BH10" s="45">
        <v>11</v>
      </c>
      <c r="BI10" s="45">
        <v>22</v>
      </c>
      <c r="BJ10" s="45">
        <v>39</v>
      </c>
      <c r="BK10" s="45">
        <v>24</v>
      </c>
      <c r="BL10" s="48">
        <f t="shared" si="4"/>
        <v>124</v>
      </c>
      <c r="BM10" s="45">
        <v>78</v>
      </c>
      <c r="BN10" s="45">
        <v>67</v>
      </c>
      <c r="BO10" s="45">
        <v>60</v>
      </c>
      <c r="BP10" s="45">
        <v>9</v>
      </c>
      <c r="BQ10" s="45">
        <v>27</v>
      </c>
      <c r="BS10" s="44">
        <v>593</v>
      </c>
      <c r="BT10" s="44" t="s">
        <v>407</v>
      </c>
      <c r="BU10" s="45">
        <v>22</v>
      </c>
      <c r="BV10" s="45">
        <v>90</v>
      </c>
      <c r="BW10" s="45">
        <v>81</v>
      </c>
      <c r="BX10" s="45">
        <v>82</v>
      </c>
      <c r="BY10" s="45">
        <v>49</v>
      </c>
      <c r="BZ10" s="46">
        <f t="shared" si="5"/>
        <v>324</v>
      </c>
      <c r="CA10" s="45">
        <v>1</v>
      </c>
      <c r="CB10" s="45">
        <v>57</v>
      </c>
      <c r="CC10" s="45">
        <v>88</v>
      </c>
      <c r="CD10" s="45">
        <v>23</v>
      </c>
      <c r="CE10" s="45">
        <v>47</v>
      </c>
      <c r="CG10" s="44">
        <v>488</v>
      </c>
      <c r="CH10" s="44" t="s">
        <v>410</v>
      </c>
      <c r="CI10" s="45">
        <v>74</v>
      </c>
      <c r="CJ10" s="45">
        <v>15</v>
      </c>
      <c r="CK10" s="45">
        <v>71</v>
      </c>
      <c r="CL10" s="45">
        <v>45</v>
      </c>
      <c r="CM10" s="45">
        <v>53</v>
      </c>
      <c r="CN10" s="46">
        <f t="shared" si="6"/>
        <v>258</v>
      </c>
      <c r="CO10" s="45">
        <v>43</v>
      </c>
      <c r="CP10" s="45">
        <v>23</v>
      </c>
      <c r="CQ10" s="45">
        <v>31</v>
      </c>
      <c r="CR10" s="45">
        <v>25</v>
      </c>
      <c r="CS10" s="45">
        <v>18</v>
      </c>
    </row>
    <row r="11" spans="1:97" x14ac:dyDescent="0.2">
      <c r="A11" s="49">
        <v>2000</v>
      </c>
      <c r="B11" s="49" t="s">
        <v>420</v>
      </c>
      <c r="C11" s="50">
        <v>88</v>
      </c>
      <c r="D11" s="50">
        <v>22</v>
      </c>
      <c r="E11" s="50">
        <v>61</v>
      </c>
      <c r="F11" s="50">
        <v>64</v>
      </c>
      <c r="G11" s="50">
        <v>50</v>
      </c>
      <c r="H11" s="46">
        <f t="shared" si="0"/>
        <v>285</v>
      </c>
      <c r="I11" s="50">
        <v>3</v>
      </c>
      <c r="J11" s="50">
        <v>15</v>
      </c>
      <c r="K11" s="50">
        <v>8</v>
      </c>
      <c r="L11" s="50">
        <v>27</v>
      </c>
      <c r="M11" s="50">
        <v>70</v>
      </c>
      <c r="O11" s="49">
        <v>1793</v>
      </c>
      <c r="P11" s="49" t="s">
        <v>416</v>
      </c>
      <c r="Q11" s="50">
        <v>69</v>
      </c>
      <c r="R11" s="50">
        <v>30</v>
      </c>
      <c r="S11" s="50">
        <v>75</v>
      </c>
      <c r="T11" s="50">
        <v>65</v>
      </c>
      <c r="U11" s="50">
        <v>12</v>
      </c>
      <c r="V11" s="46">
        <f t="shared" si="1"/>
        <v>251</v>
      </c>
      <c r="W11" s="50">
        <v>19</v>
      </c>
      <c r="X11" s="50">
        <v>21</v>
      </c>
      <c r="Y11" s="50">
        <v>61</v>
      </c>
      <c r="Z11" s="50">
        <v>80</v>
      </c>
      <c r="AA11" s="50">
        <v>57</v>
      </c>
      <c r="AC11" s="49">
        <v>1584</v>
      </c>
      <c r="AD11" s="49" t="s">
        <v>417</v>
      </c>
      <c r="AE11" s="50">
        <v>13</v>
      </c>
      <c r="AF11" s="50">
        <v>11</v>
      </c>
      <c r="AG11" s="50">
        <v>60</v>
      </c>
      <c r="AH11" s="50">
        <v>52</v>
      </c>
      <c r="AI11" s="50">
        <v>63</v>
      </c>
      <c r="AJ11" s="46">
        <f t="shared" si="2"/>
        <v>199</v>
      </c>
      <c r="AK11" s="50">
        <v>10</v>
      </c>
      <c r="AL11" s="50">
        <v>49</v>
      </c>
      <c r="AM11" s="50">
        <v>68</v>
      </c>
      <c r="AN11" s="50">
        <v>77</v>
      </c>
      <c r="AO11" s="50">
        <v>82</v>
      </c>
      <c r="AQ11" s="49">
        <v>1010</v>
      </c>
      <c r="AR11" s="49" t="s">
        <v>417</v>
      </c>
      <c r="AS11" s="50">
        <v>30</v>
      </c>
      <c r="AT11" s="50">
        <v>85</v>
      </c>
      <c r="AU11" s="50">
        <v>63</v>
      </c>
      <c r="AV11" s="50">
        <v>49</v>
      </c>
      <c r="AW11" s="50">
        <v>57</v>
      </c>
      <c r="AX11" s="46">
        <f t="shared" si="3"/>
        <v>284</v>
      </c>
      <c r="AY11" s="50">
        <v>73</v>
      </c>
      <c r="AZ11" s="50">
        <v>9</v>
      </c>
      <c r="BA11" s="50">
        <v>28</v>
      </c>
      <c r="BB11" s="50">
        <v>24</v>
      </c>
      <c r="BC11" s="50">
        <v>36</v>
      </c>
      <c r="BE11" s="49">
        <v>906</v>
      </c>
      <c r="BF11" s="49" t="s">
        <v>415</v>
      </c>
      <c r="BG11" s="50">
        <v>61</v>
      </c>
      <c r="BH11" s="50">
        <v>63</v>
      </c>
      <c r="BI11" s="50">
        <v>45</v>
      </c>
      <c r="BJ11" s="50">
        <v>19</v>
      </c>
      <c r="BK11" s="50">
        <v>18</v>
      </c>
      <c r="BL11" s="46">
        <f t="shared" si="4"/>
        <v>206</v>
      </c>
      <c r="BM11" s="50">
        <v>28</v>
      </c>
      <c r="BN11" s="50">
        <v>37</v>
      </c>
      <c r="BO11" s="50">
        <v>20</v>
      </c>
      <c r="BP11" s="50">
        <v>54</v>
      </c>
      <c r="BQ11" s="50">
        <v>24</v>
      </c>
      <c r="BS11" s="49">
        <v>594</v>
      </c>
      <c r="BT11" s="49" t="s">
        <v>415</v>
      </c>
      <c r="BU11" s="50">
        <v>74</v>
      </c>
      <c r="BV11" s="50">
        <v>13</v>
      </c>
      <c r="BW11" s="50">
        <v>47</v>
      </c>
      <c r="BX11" s="50">
        <v>2</v>
      </c>
      <c r="BY11" s="50">
        <v>10</v>
      </c>
      <c r="BZ11" s="51">
        <f t="shared" si="5"/>
        <v>146</v>
      </c>
      <c r="CA11" s="50">
        <v>61</v>
      </c>
      <c r="CB11" s="50">
        <v>18</v>
      </c>
      <c r="CC11" s="50">
        <v>26</v>
      </c>
      <c r="CD11" s="50">
        <v>67</v>
      </c>
      <c r="CE11" s="50">
        <v>79</v>
      </c>
      <c r="CG11" s="49">
        <v>489</v>
      </c>
      <c r="CH11" s="49" t="s">
        <v>418</v>
      </c>
      <c r="CI11" s="50">
        <v>74</v>
      </c>
      <c r="CJ11" s="50">
        <v>51</v>
      </c>
      <c r="CK11" s="50">
        <v>54</v>
      </c>
      <c r="CL11" s="50">
        <v>77</v>
      </c>
      <c r="CM11" s="50">
        <v>47</v>
      </c>
      <c r="CN11" s="46">
        <f t="shared" si="6"/>
        <v>303</v>
      </c>
      <c r="CO11" s="50">
        <v>64</v>
      </c>
      <c r="CP11" s="50">
        <v>39</v>
      </c>
      <c r="CQ11" s="50">
        <v>66</v>
      </c>
      <c r="CR11" s="50">
        <v>72</v>
      </c>
      <c r="CS11" s="50">
        <v>35</v>
      </c>
    </row>
    <row r="12" spans="1:97" x14ac:dyDescent="0.2">
      <c r="A12" s="44">
        <v>2001</v>
      </c>
      <c r="B12" s="44" t="s">
        <v>428</v>
      </c>
      <c r="C12" s="45">
        <v>74</v>
      </c>
      <c r="D12" s="45">
        <v>50</v>
      </c>
      <c r="E12" s="45">
        <v>67</v>
      </c>
      <c r="F12" s="45">
        <v>25</v>
      </c>
      <c r="G12" s="45">
        <v>56</v>
      </c>
      <c r="H12" s="46">
        <f t="shared" si="0"/>
        <v>272</v>
      </c>
      <c r="I12" s="45">
        <v>44</v>
      </c>
      <c r="J12" s="45">
        <v>76</v>
      </c>
      <c r="K12" s="45">
        <v>60</v>
      </c>
      <c r="L12" s="45">
        <v>2</v>
      </c>
      <c r="M12" s="45">
        <v>51</v>
      </c>
      <c r="O12" s="44">
        <v>1794</v>
      </c>
      <c r="P12" s="44" t="s">
        <v>424</v>
      </c>
      <c r="Q12" s="45">
        <v>65</v>
      </c>
      <c r="R12" s="45">
        <v>21</v>
      </c>
      <c r="S12" s="45">
        <v>71</v>
      </c>
      <c r="T12" s="45">
        <v>8</v>
      </c>
      <c r="U12" s="45">
        <v>46</v>
      </c>
      <c r="V12" s="46">
        <f t="shared" si="1"/>
        <v>211</v>
      </c>
      <c r="W12" s="45">
        <v>15</v>
      </c>
      <c r="X12" s="45">
        <v>74</v>
      </c>
      <c r="Y12" s="45">
        <v>81</v>
      </c>
      <c r="Z12" s="45">
        <v>43</v>
      </c>
      <c r="AA12" s="45">
        <v>55</v>
      </c>
      <c r="AC12" s="44">
        <v>1585</v>
      </c>
      <c r="AD12" s="44" t="s">
        <v>425</v>
      </c>
      <c r="AE12" s="45">
        <v>5</v>
      </c>
      <c r="AF12" s="45">
        <v>17</v>
      </c>
      <c r="AG12" s="45">
        <v>77</v>
      </c>
      <c r="AH12" s="45">
        <v>84</v>
      </c>
      <c r="AI12" s="45">
        <v>42</v>
      </c>
      <c r="AJ12" s="46">
        <f t="shared" si="2"/>
        <v>225</v>
      </c>
      <c r="AK12" s="45">
        <v>16</v>
      </c>
      <c r="AL12" s="45">
        <v>76</v>
      </c>
      <c r="AM12" s="45">
        <v>35</v>
      </c>
      <c r="AN12" s="45">
        <v>48</v>
      </c>
      <c r="AO12" s="45">
        <v>63</v>
      </c>
      <c r="AQ12" s="44">
        <v>1011</v>
      </c>
      <c r="AR12" s="44" t="s">
        <v>425</v>
      </c>
      <c r="AS12" s="45">
        <v>45</v>
      </c>
      <c r="AT12" s="45">
        <v>17</v>
      </c>
      <c r="AU12" s="45">
        <v>75</v>
      </c>
      <c r="AV12" s="45">
        <v>50</v>
      </c>
      <c r="AW12" s="45">
        <v>41</v>
      </c>
      <c r="AX12" s="46">
        <f t="shared" si="3"/>
        <v>228</v>
      </c>
      <c r="AY12" s="45">
        <v>34</v>
      </c>
      <c r="AZ12" s="45">
        <v>13</v>
      </c>
      <c r="BA12" s="45">
        <v>77</v>
      </c>
      <c r="BB12" s="45">
        <v>23</v>
      </c>
      <c r="BC12" s="45">
        <v>74</v>
      </c>
      <c r="BE12" s="44">
        <v>907</v>
      </c>
      <c r="BF12" s="44" t="s">
        <v>423</v>
      </c>
      <c r="BG12" s="45">
        <v>89</v>
      </c>
      <c r="BH12" s="45">
        <v>16</v>
      </c>
      <c r="BI12" s="45">
        <v>83</v>
      </c>
      <c r="BJ12" s="45">
        <v>50</v>
      </c>
      <c r="BK12" s="45">
        <v>69</v>
      </c>
      <c r="BL12" s="46">
        <f t="shared" si="4"/>
        <v>307</v>
      </c>
      <c r="BM12" s="45">
        <v>1</v>
      </c>
      <c r="BN12" s="45">
        <v>3</v>
      </c>
      <c r="BO12" s="45">
        <v>32</v>
      </c>
      <c r="BP12" s="45">
        <v>57</v>
      </c>
      <c r="BQ12" s="45">
        <v>67</v>
      </c>
      <c r="BS12" s="44">
        <v>595</v>
      </c>
      <c r="BT12" s="44" t="s">
        <v>423</v>
      </c>
      <c r="BU12" s="45">
        <v>22</v>
      </c>
      <c r="BV12" s="45">
        <v>38</v>
      </c>
      <c r="BW12" s="45">
        <v>46</v>
      </c>
      <c r="BX12" s="45">
        <v>21</v>
      </c>
      <c r="BY12" s="45">
        <v>57</v>
      </c>
      <c r="BZ12" s="46">
        <f t="shared" si="5"/>
        <v>184</v>
      </c>
      <c r="CA12" s="45">
        <v>66</v>
      </c>
      <c r="CB12" s="45">
        <v>76</v>
      </c>
      <c r="CC12" s="45">
        <v>16</v>
      </c>
      <c r="CD12" s="45">
        <v>37</v>
      </c>
      <c r="CE12" s="45">
        <v>79</v>
      </c>
      <c r="CG12" s="44">
        <v>490</v>
      </c>
      <c r="CH12" s="44" t="s">
        <v>426</v>
      </c>
      <c r="CI12" s="45">
        <v>12</v>
      </c>
      <c r="CJ12" s="45">
        <v>44</v>
      </c>
      <c r="CK12" s="45">
        <v>54</v>
      </c>
      <c r="CL12" s="45">
        <v>28</v>
      </c>
      <c r="CM12" s="45">
        <v>8</v>
      </c>
      <c r="CN12" s="48">
        <f t="shared" si="6"/>
        <v>146</v>
      </c>
      <c r="CO12" s="45">
        <v>3</v>
      </c>
      <c r="CP12" s="45">
        <v>42</v>
      </c>
      <c r="CQ12" s="45">
        <v>19</v>
      </c>
      <c r="CR12" s="45">
        <v>65</v>
      </c>
      <c r="CS12" s="45">
        <v>4</v>
      </c>
    </row>
    <row r="13" spans="1:97" x14ac:dyDescent="0.2">
      <c r="A13" s="49">
        <v>2002</v>
      </c>
      <c r="B13" s="49" t="s">
        <v>436</v>
      </c>
      <c r="C13" s="50">
        <v>14</v>
      </c>
      <c r="D13" s="50">
        <v>73</v>
      </c>
      <c r="E13" s="50">
        <v>65</v>
      </c>
      <c r="F13" s="50">
        <v>89</v>
      </c>
      <c r="G13" s="50">
        <v>87</v>
      </c>
      <c r="H13" s="46">
        <f t="shared" si="0"/>
        <v>328</v>
      </c>
      <c r="I13" s="50">
        <v>9</v>
      </c>
      <c r="J13" s="50">
        <v>11</v>
      </c>
      <c r="K13" s="50">
        <v>55</v>
      </c>
      <c r="L13" s="50">
        <v>57</v>
      </c>
      <c r="M13" s="50">
        <v>77</v>
      </c>
      <c r="O13" s="49">
        <v>1795</v>
      </c>
      <c r="P13" s="49" t="s">
        <v>432</v>
      </c>
      <c r="Q13" s="50">
        <v>22</v>
      </c>
      <c r="R13" s="50">
        <v>86</v>
      </c>
      <c r="S13" s="50">
        <v>7</v>
      </c>
      <c r="T13" s="50">
        <v>55</v>
      </c>
      <c r="U13" s="50">
        <v>18</v>
      </c>
      <c r="V13" s="46">
        <f t="shared" si="1"/>
        <v>188</v>
      </c>
      <c r="W13" s="50">
        <v>42</v>
      </c>
      <c r="X13" s="50">
        <v>77</v>
      </c>
      <c r="Y13" s="50">
        <v>36</v>
      </c>
      <c r="Z13" s="50">
        <v>56</v>
      </c>
      <c r="AA13" s="50">
        <v>41</v>
      </c>
      <c r="AC13" s="49">
        <v>1586</v>
      </c>
      <c r="AD13" s="49" t="s">
        <v>433</v>
      </c>
      <c r="AE13" s="50">
        <v>2</v>
      </c>
      <c r="AF13" s="50">
        <v>8</v>
      </c>
      <c r="AG13" s="50">
        <v>77</v>
      </c>
      <c r="AH13" s="50">
        <v>46</v>
      </c>
      <c r="AI13" s="50">
        <v>72</v>
      </c>
      <c r="AJ13" s="46">
        <f t="shared" si="2"/>
        <v>205</v>
      </c>
      <c r="AK13" s="50">
        <v>35</v>
      </c>
      <c r="AL13" s="50">
        <v>90</v>
      </c>
      <c r="AM13" s="50">
        <v>44</v>
      </c>
      <c r="AN13" s="50">
        <v>27</v>
      </c>
      <c r="AO13" s="50">
        <v>12</v>
      </c>
      <c r="AQ13" s="49">
        <v>1012</v>
      </c>
      <c r="AR13" s="49" t="s">
        <v>433</v>
      </c>
      <c r="AS13" s="50">
        <v>61</v>
      </c>
      <c r="AT13" s="50">
        <v>3</v>
      </c>
      <c r="AU13" s="50">
        <v>74</v>
      </c>
      <c r="AV13" s="50">
        <v>68</v>
      </c>
      <c r="AW13" s="50">
        <v>40</v>
      </c>
      <c r="AX13" s="46">
        <f t="shared" si="3"/>
        <v>246</v>
      </c>
      <c r="AY13" s="50">
        <v>55</v>
      </c>
      <c r="AZ13" s="50">
        <v>17</v>
      </c>
      <c r="BA13" s="50">
        <v>24</v>
      </c>
      <c r="BB13" s="50">
        <v>72</v>
      </c>
      <c r="BC13" s="50">
        <v>80</v>
      </c>
      <c r="BE13" s="49">
        <v>908</v>
      </c>
      <c r="BF13" s="49" t="s">
        <v>431</v>
      </c>
      <c r="BG13" s="50">
        <v>50</v>
      </c>
      <c r="BH13" s="50">
        <v>13</v>
      </c>
      <c r="BI13" s="50">
        <v>2</v>
      </c>
      <c r="BJ13" s="50">
        <v>90</v>
      </c>
      <c r="BK13" s="50">
        <v>24</v>
      </c>
      <c r="BL13" s="51">
        <f t="shared" si="4"/>
        <v>179</v>
      </c>
      <c r="BM13" s="50">
        <v>29</v>
      </c>
      <c r="BN13" s="50">
        <v>49</v>
      </c>
      <c r="BO13" s="50">
        <v>28</v>
      </c>
      <c r="BP13" s="50">
        <v>66</v>
      </c>
      <c r="BQ13" s="50">
        <v>74</v>
      </c>
      <c r="BS13" s="49">
        <v>596</v>
      </c>
      <c r="BT13" s="49" t="s">
        <v>431</v>
      </c>
      <c r="BU13" s="50">
        <v>7</v>
      </c>
      <c r="BV13" s="50">
        <v>81</v>
      </c>
      <c r="BW13" s="50">
        <v>76</v>
      </c>
      <c r="BX13" s="50">
        <v>12</v>
      </c>
      <c r="BY13" s="50">
        <v>47</v>
      </c>
      <c r="BZ13" s="46">
        <f t="shared" si="5"/>
        <v>223</v>
      </c>
      <c r="CA13" s="50">
        <v>55</v>
      </c>
      <c r="CB13" s="50">
        <v>29</v>
      </c>
      <c r="CC13" s="50">
        <v>25</v>
      </c>
      <c r="CD13" s="50">
        <v>60</v>
      </c>
      <c r="CE13" s="50">
        <v>24</v>
      </c>
      <c r="CG13" s="49">
        <v>491</v>
      </c>
      <c r="CH13" s="49" t="s">
        <v>434</v>
      </c>
      <c r="CI13" s="50">
        <v>53</v>
      </c>
      <c r="CJ13" s="50">
        <v>56</v>
      </c>
      <c r="CK13" s="50">
        <v>49</v>
      </c>
      <c r="CL13" s="50">
        <v>42</v>
      </c>
      <c r="CM13" s="50">
        <v>11</v>
      </c>
      <c r="CN13" s="46">
        <f t="shared" si="6"/>
        <v>211</v>
      </c>
      <c r="CO13" s="50">
        <v>88</v>
      </c>
      <c r="CP13" s="50">
        <v>45</v>
      </c>
      <c r="CQ13" s="50">
        <v>14</v>
      </c>
      <c r="CR13" s="50">
        <v>2</v>
      </c>
      <c r="CS13" s="50">
        <v>55</v>
      </c>
    </row>
    <row r="14" spans="1:97" x14ac:dyDescent="0.2">
      <c r="A14" s="44">
        <v>2003</v>
      </c>
      <c r="B14" s="44" t="s">
        <v>446</v>
      </c>
      <c r="C14" s="45">
        <v>36</v>
      </c>
      <c r="D14" s="45">
        <v>13</v>
      </c>
      <c r="E14" s="45">
        <v>7</v>
      </c>
      <c r="F14" s="45">
        <v>75</v>
      </c>
      <c r="G14" s="45">
        <v>9</v>
      </c>
      <c r="H14" s="48">
        <f t="shared" si="0"/>
        <v>140</v>
      </c>
      <c r="I14" s="45">
        <v>53</v>
      </c>
      <c r="J14" s="45">
        <v>32</v>
      </c>
      <c r="K14" s="45">
        <v>10</v>
      </c>
      <c r="L14" s="45">
        <v>26</v>
      </c>
      <c r="M14" s="45">
        <v>42</v>
      </c>
      <c r="O14" s="44">
        <v>1796</v>
      </c>
      <c r="P14" s="44" t="s">
        <v>444</v>
      </c>
      <c r="Q14" s="45">
        <v>45</v>
      </c>
      <c r="R14" s="45">
        <v>57</v>
      </c>
      <c r="S14" s="45">
        <v>62</v>
      </c>
      <c r="T14" s="45">
        <v>42</v>
      </c>
      <c r="U14" s="45">
        <v>56</v>
      </c>
      <c r="V14" s="46">
        <f t="shared" si="1"/>
        <v>262</v>
      </c>
      <c r="W14" s="45">
        <v>46</v>
      </c>
      <c r="X14" s="45">
        <v>87</v>
      </c>
      <c r="Y14" s="45">
        <v>29</v>
      </c>
      <c r="Z14" s="45">
        <v>14</v>
      </c>
      <c r="AA14" s="45">
        <v>16</v>
      </c>
      <c r="AC14" s="44">
        <v>1587</v>
      </c>
      <c r="AD14" s="44" t="s">
        <v>441</v>
      </c>
      <c r="AE14" s="45">
        <v>10</v>
      </c>
      <c r="AF14" s="45">
        <v>58</v>
      </c>
      <c r="AG14" s="45">
        <v>43</v>
      </c>
      <c r="AH14" s="45">
        <v>14</v>
      </c>
      <c r="AI14" s="45">
        <v>79</v>
      </c>
      <c r="AJ14" s="46">
        <f t="shared" si="2"/>
        <v>204</v>
      </c>
      <c r="AK14" s="45">
        <v>56</v>
      </c>
      <c r="AL14" s="45">
        <v>77</v>
      </c>
      <c r="AM14" s="45">
        <v>25</v>
      </c>
      <c r="AN14" s="45">
        <v>40</v>
      </c>
      <c r="AO14" s="45">
        <v>73</v>
      </c>
      <c r="AQ14" s="44">
        <v>1013</v>
      </c>
      <c r="AR14" s="44" t="s">
        <v>441</v>
      </c>
      <c r="AS14" s="45">
        <v>16</v>
      </c>
      <c r="AT14" s="45">
        <v>58</v>
      </c>
      <c r="AU14" s="45">
        <v>57</v>
      </c>
      <c r="AV14" s="45">
        <v>18</v>
      </c>
      <c r="AW14" s="45">
        <v>38</v>
      </c>
      <c r="AX14" s="46">
        <f t="shared" si="3"/>
        <v>187</v>
      </c>
      <c r="AY14" s="45">
        <v>79</v>
      </c>
      <c r="AZ14" s="45">
        <v>90</v>
      </c>
      <c r="BA14" s="45">
        <v>87</v>
      </c>
      <c r="BB14" s="45">
        <v>24</v>
      </c>
      <c r="BC14" s="45">
        <v>80</v>
      </c>
      <c r="BE14" s="44">
        <v>909</v>
      </c>
      <c r="BF14" s="44" t="s">
        <v>444</v>
      </c>
      <c r="BG14" s="45">
        <v>44</v>
      </c>
      <c r="BH14" s="45">
        <v>9</v>
      </c>
      <c r="BI14" s="45">
        <v>12</v>
      </c>
      <c r="BJ14" s="45">
        <v>74</v>
      </c>
      <c r="BK14" s="45">
        <v>24</v>
      </c>
      <c r="BL14" s="48">
        <f t="shared" si="4"/>
        <v>163</v>
      </c>
      <c r="BM14" s="45">
        <v>31</v>
      </c>
      <c r="BN14" s="45">
        <v>83</v>
      </c>
      <c r="BO14" s="45">
        <v>26</v>
      </c>
      <c r="BP14" s="45">
        <v>68</v>
      </c>
      <c r="BQ14" s="45">
        <v>78</v>
      </c>
      <c r="BS14" s="44">
        <v>597</v>
      </c>
      <c r="BT14" s="44" t="s">
        <v>439</v>
      </c>
      <c r="BU14" s="45">
        <v>81</v>
      </c>
      <c r="BV14" s="45">
        <v>44</v>
      </c>
      <c r="BW14" s="45">
        <v>12</v>
      </c>
      <c r="BX14" s="45">
        <v>42</v>
      </c>
      <c r="BY14" s="45">
        <v>25</v>
      </c>
      <c r="BZ14" s="46">
        <f t="shared" si="5"/>
        <v>204</v>
      </c>
      <c r="CA14" s="45">
        <v>46</v>
      </c>
      <c r="CB14" s="45">
        <v>57</v>
      </c>
      <c r="CC14" s="45">
        <v>75</v>
      </c>
      <c r="CD14" s="45">
        <v>19</v>
      </c>
      <c r="CE14" s="45">
        <v>60</v>
      </c>
      <c r="CG14" s="44">
        <v>492</v>
      </c>
      <c r="CH14" s="44" t="s">
        <v>442</v>
      </c>
      <c r="CI14" s="45">
        <v>17</v>
      </c>
      <c r="CJ14" s="45">
        <v>6</v>
      </c>
      <c r="CK14" s="45">
        <v>72</v>
      </c>
      <c r="CL14" s="45">
        <v>52</v>
      </c>
      <c r="CM14" s="45">
        <v>1</v>
      </c>
      <c r="CN14" s="48">
        <f t="shared" si="6"/>
        <v>148</v>
      </c>
      <c r="CO14" s="45">
        <v>90</v>
      </c>
      <c r="CP14" s="45">
        <v>14</v>
      </c>
      <c r="CQ14" s="45">
        <v>32</v>
      </c>
      <c r="CR14" s="45">
        <v>82</v>
      </c>
      <c r="CS14" s="45">
        <v>39</v>
      </c>
    </row>
    <row r="15" spans="1:97" x14ac:dyDescent="0.2">
      <c r="A15" s="49">
        <v>2004</v>
      </c>
      <c r="B15" s="49" t="s">
        <v>745</v>
      </c>
      <c r="C15" s="50">
        <v>54</v>
      </c>
      <c r="D15" s="50">
        <v>60</v>
      </c>
      <c r="E15" s="50">
        <v>14</v>
      </c>
      <c r="F15" s="50">
        <v>49</v>
      </c>
      <c r="G15" s="50">
        <v>37</v>
      </c>
      <c r="H15" s="46">
        <f t="shared" si="0"/>
        <v>214</v>
      </c>
      <c r="I15" s="50">
        <v>61</v>
      </c>
      <c r="J15" s="50">
        <v>78</v>
      </c>
      <c r="K15" s="50">
        <v>45</v>
      </c>
      <c r="L15" s="50">
        <v>41</v>
      </c>
      <c r="M15" s="50">
        <v>52</v>
      </c>
      <c r="O15" s="49">
        <v>1797</v>
      </c>
      <c r="P15" s="49" t="s">
        <v>453</v>
      </c>
      <c r="Q15" s="50">
        <v>5</v>
      </c>
      <c r="R15" s="50">
        <v>54</v>
      </c>
      <c r="S15" s="50">
        <v>48</v>
      </c>
      <c r="T15" s="50">
        <v>56</v>
      </c>
      <c r="U15" s="50">
        <v>3</v>
      </c>
      <c r="V15" s="51">
        <f t="shared" si="1"/>
        <v>166</v>
      </c>
      <c r="W15" s="50">
        <v>59</v>
      </c>
      <c r="X15" s="50">
        <v>85</v>
      </c>
      <c r="Y15" s="50">
        <v>4</v>
      </c>
      <c r="Z15" s="50">
        <v>6</v>
      </c>
      <c r="AA15" s="50">
        <v>40</v>
      </c>
      <c r="AC15" s="49">
        <v>1588</v>
      </c>
      <c r="AD15" s="49" t="s">
        <v>450</v>
      </c>
      <c r="AE15" s="50">
        <v>75</v>
      </c>
      <c r="AF15" s="50">
        <v>55</v>
      </c>
      <c r="AG15" s="50">
        <v>83</v>
      </c>
      <c r="AH15" s="50">
        <v>53</v>
      </c>
      <c r="AI15" s="50">
        <v>3</v>
      </c>
      <c r="AJ15" s="46">
        <f t="shared" si="2"/>
        <v>269</v>
      </c>
      <c r="AK15" s="50">
        <v>2</v>
      </c>
      <c r="AL15" s="50">
        <v>86</v>
      </c>
      <c r="AM15" s="50">
        <v>43</v>
      </c>
      <c r="AN15" s="50">
        <v>61</v>
      </c>
      <c r="AO15" s="50">
        <v>56</v>
      </c>
      <c r="AQ15" s="49">
        <v>1014</v>
      </c>
      <c r="AR15" s="49" t="s">
        <v>450</v>
      </c>
      <c r="AS15" s="50">
        <v>70</v>
      </c>
      <c r="AT15" s="50">
        <v>53</v>
      </c>
      <c r="AU15" s="50">
        <v>2</v>
      </c>
      <c r="AV15" s="50">
        <v>52</v>
      </c>
      <c r="AW15" s="50">
        <v>11</v>
      </c>
      <c r="AX15" s="46">
        <f t="shared" si="3"/>
        <v>188</v>
      </c>
      <c r="AY15" s="50">
        <v>71</v>
      </c>
      <c r="AZ15" s="50">
        <v>30</v>
      </c>
      <c r="BA15" s="50">
        <v>50</v>
      </c>
      <c r="BB15" s="50">
        <v>68</v>
      </c>
      <c r="BC15" s="50">
        <v>14</v>
      </c>
      <c r="BE15" s="49">
        <v>910</v>
      </c>
      <c r="BF15" s="49" t="s">
        <v>453</v>
      </c>
      <c r="BG15" s="50">
        <v>52</v>
      </c>
      <c r="BH15" s="50">
        <v>26</v>
      </c>
      <c r="BI15" s="50">
        <v>72</v>
      </c>
      <c r="BJ15" s="50">
        <v>69</v>
      </c>
      <c r="BK15" s="50">
        <v>39</v>
      </c>
      <c r="BL15" s="46">
        <f t="shared" si="4"/>
        <v>258</v>
      </c>
      <c r="BM15" s="50">
        <v>49</v>
      </c>
      <c r="BN15" s="50">
        <v>48</v>
      </c>
      <c r="BO15" s="50">
        <v>1</v>
      </c>
      <c r="BP15" s="50">
        <v>57</v>
      </c>
      <c r="BQ15" s="50">
        <v>38</v>
      </c>
      <c r="BS15" s="49">
        <v>598</v>
      </c>
      <c r="BT15" s="49" t="s">
        <v>448</v>
      </c>
      <c r="BU15" s="50">
        <v>35</v>
      </c>
      <c r="BV15" s="50">
        <v>46</v>
      </c>
      <c r="BW15" s="50">
        <v>28</v>
      </c>
      <c r="BX15" s="50">
        <v>41</v>
      </c>
      <c r="BY15" s="50">
        <v>64</v>
      </c>
      <c r="BZ15" s="46">
        <f t="shared" si="5"/>
        <v>214</v>
      </c>
      <c r="CA15" s="50">
        <v>75</v>
      </c>
      <c r="CB15" s="50">
        <v>36</v>
      </c>
      <c r="CC15" s="50">
        <v>73</v>
      </c>
      <c r="CD15" s="50">
        <v>66</v>
      </c>
      <c r="CE15" s="50">
        <v>49</v>
      </c>
      <c r="CG15" s="49">
        <v>493</v>
      </c>
      <c r="CH15" s="49" t="s">
        <v>443</v>
      </c>
      <c r="CI15" s="50">
        <v>21</v>
      </c>
      <c r="CJ15" s="50">
        <v>87</v>
      </c>
      <c r="CK15" s="50">
        <v>56</v>
      </c>
      <c r="CL15" s="50">
        <v>42</v>
      </c>
      <c r="CM15" s="50">
        <v>3</v>
      </c>
      <c r="CN15" s="46">
        <f t="shared" si="6"/>
        <v>209</v>
      </c>
      <c r="CO15" s="50">
        <v>67</v>
      </c>
      <c r="CP15" s="50">
        <v>48</v>
      </c>
      <c r="CQ15" s="50">
        <v>34</v>
      </c>
      <c r="CR15" s="50">
        <v>57</v>
      </c>
      <c r="CS15" s="50">
        <v>58</v>
      </c>
    </row>
    <row r="16" spans="1:97" x14ac:dyDescent="0.2">
      <c r="A16" s="44">
        <v>2005</v>
      </c>
      <c r="B16" s="44" t="s">
        <v>746</v>
      </c>
      <c r="C16" s="45">
        <v>55</v>
      </c>
      <c r="D16" s="45">
        <v>21</v>
      </c>
      <c r="E16" s="45">
        <v>76</v>
      </c>
      <c r="F16" s="45">
        <v>69</v>
      </c>
      <c r="G16" s="45">
        <v>57</v>
      </c>
      <c r="H16" s="46">
        <f t="shared" si="0"/>
        <v>278</v>
      </c>
      <c r="I16" s="45">
        <v>35</v>
      </c>
      <c r="J16" s="45">
        <v>60</v>
      </c>
      <c r="K16" s="45">
        <v>81</v>
      </c>
      <c r="L16" s="45">
        <v>4</v>
      </c>
      <c r="M16" s="45">
        <v>74</v>
      </c>
      <c r="O16" s="44">
        <v>1798</v>
      </c>
      <c r="P16" s="44" t="s">
        <v>460</v>
      </c>
      <c r="Q16" s="45">
        <v>1</v>
      </c>
      <c r="R16" s="45">
        <v>13</v>
      </c>
      <c r="S16" s="45">
        <v>66</v>
      </c>
      <c r="T16" s="45">
        <v>78</v>
      </c>
      <c r="U16" s="45">
        <v>26</v>
      </c>
      <c r="V16" s="46">
        <f t="shared" si="1"/>
        <v>184</v>
      </c>
      <c r="W16" s="45">
        <v>43</v>
      </c>
      <c r="X16" s="45">
        <v>27</v>
      </c>
      <c r="Y16" s="45">
        <v>8</v>
      </c>
      <c r="Z16" s="45">
        <v>21</v>
      </c>
      <c r="AA16" s="45">
        <v>6</v>
      </c>
      <c r="AC16" s="44">
        <v>1589</v>
      </c>
      <c r="AD16" s="44" t="s">
        <v>457</v>
      </c>
      <c r="AE16" s="45">
        <v>76</v>
      </c>
      <c r="AF16" s="45">
        <v>84</v>
      </c>
      <c r="AG16" s="45">
        <v>33</v>
      </c>
      <c r="AH16" s="45">
        <v>49</v>
      </c>
      <c r="AI16" s="45">
        <v>20</v>
      </c>
      <c r="AJ16" s="46">
        <f t="shared" si="2"/>
        <v>262</v>
      </c>
      <c r="AK16" s="45">
        <v>11</v>
      </c>
      <c r="AL16" s="45">
        <v>17</v>
      </c>
      <c r="AM16" s="45">
        <v>80</v>
      </c>
      <c r="AN16" s="45">
        <v>22</v>
      </c>
      <c r="AO16" s="45">
        <v>37</v>
      </c>
      <c r="AQ16" s="44">
        <v>1015</v>
      </c>
      <c r="AR16" s="44" t="s">
        <v>457</v>
      </c>
      <c r="AS16" s="45">
        <v>5</v>
      </c>
      <c r="AT16" s="45">
        <v>46</v>
      </c>
      <c r="AU16" s="45">
        <v>74</v>
      </c>
      <c r="AV16" s="45">
        <v>71</v>
      </c>
      <c r="AW16" s="45">
        <v>12</v>
      </c>
      <c r="AX16" s="46">
        <f t="shared" si="3"/>
        <v>208</v>
      </c>
      <c r="AY16" s="45">
        <v>47</v>
      </c>
      <c r="AZ16" s="45">
        <v>30</v>
      </c>
      <c r="BA16" s="45">
        <v>22</v>
      </c>
      <c r="BB16" s="45">
        <v>55</v>
      </c>
      <c r="BC16" s="45">
        <v>41</v>
      </c>
      <c r="BE16" s="44">
        <v>911</v>
      </c>
      <c r="BF16" s="44" t="s">
        <v>460</v>
      </c>
      <c r="BG16" s="45">
        <v>52</v>
      </c>
      <c r="BH16" s="45">
        <v>35</v>
      </c>
      <c r="BI16" s="45">
        <v>89</v>
      </c>
      <c r="BJ16" s="45">
        <v>15</v>
      </c>
      <c r="BK16" s="45">
        <v>10</v>
      </c>
      <c r="BL16" s="46">
        <f t="shared" si="4"/>
        <v>201</v>
      </c>
      <c r="BM16" s="45">
        <v>63</v>
      </c>
      <c r="BN16" s="45">
        <v>37</v>
      </c>
      <c r="BO16" s="45">
        <v>62</v>
      </c>
      <c r="BP16" s="45">
        <v>55</v>
      </c>
      <c r="BQ16" s="45">
        <v>54</v>
      </c>
      <c r="BS16" s="44">
        <v>599</v>
      </c>
      <c r="BT16" s="44" t="s">
        <v>455</v>
      </c>
      <c r="BU16" s="45">
        <v>32</v>
      </c>
      <c r="BV16" s="45">
        <v>54</v>
      </c>
      <c r="BW16" s="45">
        <v>19</v>
      </c>
      <c r="BX16" s="45">
        <v>50</v>
      </c>
      <c r="BY16" s="45">
        <v>21</v>
      </c>
      <c r="BZ16" s="48">
        <f t="shared" si="5"/>
        <v>176</v>
      </c>
      <c r="CA16" s="45">
        <v>87</v>
      </c>
      <c r="CB16" s="45">
        <v>18</v>
      </c>
      <c r="CC16" s="45">
        <v>11</v>
      </c>
      <c r="CD16" s="45">
        <v>31</v>
      </c>
      <c r="CE16" s="45">
        <v>57</v>
      </c>
      <c r="CG16" s="44">
        <v>494</v>
      </c>
      <c r="CH16" s="44" t="s">
        <v>452</v>
      </c>
      <c r="CI16" s="45">
        <v>41</v>
      </c>
      <c r="CJ16" s="45">
        <v>7</v>
      </c>
      <c r="CK16" s="45">
        <v>29</v>
      </c>
      <c r="CL16" s="45">
        <v>43</v>
      </c>
      <c r="CM16" s="45">
        <v>85</v>
      </c>
      <c r="CN16" s="46">
        <f t="shared" si="6"/>
        <v>205</v>
      </c>
      <c r="CO16" s="45">
        <v>30</v>
      </c>
      <c r="CP16" s="45">
        <v>37</v>
      </c>
      <c r="CQ16" s="45">
        <v>56</v>
      </c>
      <c r="CR16" s="45">
        <v>4</v>
      </c>
      <c r="CS16" s="45">
        <v>5</v>
      </c>
    </row>
    <row r="17" spans="1:97" x14ac:dyDescent="0.2">
      <c r="A17" s="49">
        <v>2006</v>
      </c>
      <c r="B17" s="49" t="s">
        <v>468</v>
      </c>
      <c r="C17" s="50">
        <v>85</v>
      </c>
      <c r="D17" s="50">
        <v>35</v>
      </c>
      <c r="E17" s="50">
        <v>30</v>
      </c>
      <c r="F17" s="50">
        <v>76</v>
      </c>
      <c r="G17" s="50">
        <v>7</v>
      </c>
      <c r="H17" s="46">
        <f t="shared" si="0"/>
        <v>233</v>
      </c>
      <c r="I17" s="50">
        <v>90</v>
      </c>
      <c r="J17" s="50">
        <v>63</v>
      </c>
      <c r="K17" s="50">
        <v>61</v>
      </c>
      <c r="L17" s="50">
        <v>71</v>
      </c>
      <c r="M17" s="50">
        <v>77</v>
      </c>
      <c r="O17" s="49">
        <v>1799</v>
      </c>
      <c r="P17" s="49" t="s">
        <v>467</v>
      </c>
      <c r="Q17" s="50">
        <v>20</v>
      </c>
      <c r="R17" s="50">
        <v>16</v>
      </c>
      <c r="S17" s="50">
        <v>76</v>
      </c>
      <c r="T17" s="50">
        <v>37</v>
      </c>
      <c r="U17" s="50">
        <v>69</v>
      </c>
      <c r="V17" s="46">
        <f t="shared" si="1"/>
        <v>218</v>
      </c>
      <c r="W17" s="50">
        <v>12</v>
      </c>
      <c r="X17" s="50">
        <v>41</v>
      </c>
      <c r="Y17" s="50">
        <v>57</v>
      </c>
      <c r="Z17" s="50">
        <v>27</v>
      </c>
      <c r="AA17" s="50">
        <v>86</v>
      </c>
      <c r="AC17" s="49">
        <v>1590</v>
      </c>
      <c r="AD17" s="49" t="s">
        <v>464</v>
      </c>
      <c r="AE17" s="50">
        <v>67</v>
      </c>
      <c r="AF17" s="50">
        <v>43</v>
      </c>
      <c r="AG17" s="50">
        <v>2</v>
      </c>
      <c r="AH17" s="50">
        <v>23</v>
      </c>
      <c r="AI17" s="50">
        <v>55</v>
      </c>
      <c r="AJ17" s="46">
        <f t="shared" si="2"/>
        <v>190</v>
      </c>
      <c r="AK17" s="50">
        <v>26</v>
      </c>
      <c r="AL17" s="50">
        <v>42</v>
      </c>
      <c r="AM17" s="50">
        <v>83</v>
      </c>
      <c r="AN17" s="50">
        <v>20</v>
      </c>
      <c r="AO17" s="50">
        <v>84</v>
      </c>
      <c r="AQ17" s="49">
        <v>1016</v>
      </c>
      <c r="AR17" s="49" t="s">
        <v>464</v>
      </c>
      <c r="AS17" s="50">
        <v>82</v>
      </c>
      <c r="AT17" s="50">
        <v>33</v>
      </c>
      <c r="AU17" s="50">
        <v>84</v>
      </c>
      <c r="AV17" s="50">
        <v>57</v>
      </c>
      <c r="AW17" s="50">
        <v>54</v>
      </c>
      <c r="AX17" s="46">
        <f t="shared" si="3"/>
        <v>310</v>
      </c>
      <c r="AY17" s="50">
        <v>66</v>
      </c>
      <c r="AZ17" s="50">
        <v>53</v>
      </c>
      <c r="BA17" s="50">
        <v>40</v>
      </c>
      <c r="BB17" s="50">
        <v>59</v>
      </c>
      <c r="BC17" s="50">
        <v>77</v>
      </c>
      <c r="BE17" s="49">
        <v>912</v>
      </c>
      <c r="BF17" s="49" t="s">
        <v>467</v>
      </c>
      <c r="BG17" s="50">
        <v>5</v>
      </c>
      <c r="BH17" s="50">
        <v>28</v>
      </c>
      <c r="BI17" s="50">
        <v>31</v>
      </c>
      <c r="BJ17" s="50">
        <v>50</v>
      </c>
      <c r="BK17" s="50">
        <v>54</v>
      </c>
      <c r="BL17" s="51">
        <f t="shared" si="4"/>
        <v>168</v>
      </c>
      <c r="BM17" s="50">
        <v>51</v>
      </c>
      <c r="BN17" s="50">
        <v>30</v>
      </c>
      <c r="BO17" s="50">
        <v>66</v>
      </c>
      <c r="BP17" s="50">
        <v>53</v>
      </c>
      <c r="BQ17" s="50">
        <v>32</v>
      </c>
      <c r="BS17" s="49">
        <v>600</v>
      </c>
      <c r="BT17" s="49" t="s">
        <v>462</v>
      </c>
      <c r="BU17" s="50">
        <v>46</v>
      </c>
      <c r="BV17" s="50">
        <v>10</v>
      </c>
      <c r="BW17" s="50">
        <v>29</v>
      </c>
      <c r="BX17" s="50">
        <v>55</v>
      </c>
      <c r="BY17" s="50">
        <v>77</v>
      </c>
      <c r="BZ17" s="46">
        <f t="shared" si="5"/>
        <v>217</v>
      </c>
      <c r="CA17" s="50">
        <v>59</v>
      </c>
      <c r="CB17" s="50">
        <v>28</v>
      </c>
      <c r="CC17" s="50">
        <v>42</v>
      </c>
      <c r="CD17" s="50">
        <v>62</v>
      </c>
      <c r="CE17" s="50">
        <v>4</v>
      </c>
      <c r="CG17" s="49">
        <v>495</v>
      </c>
      <c r="CH17" s="49" t="s">
        <v>459</v>
      </c>
      <c r="CI17" s="50">
        <v>20</v>
      </c>
      <c r="CJ17" s="50">
        <v>11</v>
      </c>
      <c r="CK17" s="50">
        <v>41</v>
      </c>
      <c r="CL17" s="50">
        <v>64</v>
      </c>
      <c r="CM17" s="50">
        <v>2</v>
      </c>
      <c r="CN17" s="51">
        <f t="shared" si="6"/>
        <v>138</v>
      </c>
      <c r="CO17" s="50">
        <v>74</v>
      </c>
      <c r="CP17" s="50">
        <v>45</v>
      </c>
      <c r="CQ17" s="50">
        <v>38</v>
      </c>
      <c r="CR17" s="50">
        <v>15</v>
      </c>
      <c r="CS17" s="50">
        <v>55</v>
      </c>
    </row>
    <row r="18" spans="1:97" x14ac:dyDescent="0.2">
      <c r="A18" s="44">
        <v>2007</v>
      </c>
      <c r="B18" s="44" t="s">
        <v>476</v>
      </c>
      <c r="C18" s="45">
        <v>5</v>
      </c>
      <c r="D18" s="45">
        <v>57</v>
      </c>
      <c r="E18" s="45">
        <v>81</v>
      </c>
      <c r="F18" s="45">
        <v>10</v>
      </c>
      <c r="G18" s="45">
        <v>12</v>
      </c>
      <c r="H18" s="48">
        <f t="shared" si="0"/>
        <v>165</v>
      </c>
      <c r="I18" s="45">
        <v>86</v>
      </c>
      <c r="J18" s="45">
        <v>6</v>
      </c>
      <c r="K18" s="45">
        <v>51</v>
      </c>
      <c r="L18" s="45">
        <v>16</v>
      </c>
      <c r="M18" s="45">
        <v>55</v>
      </c>
      <c r="O18" s="44">
        <v>1800</v>
      </c>
      <c r="P18" s="44" t="s">
        <v>475</v>
      </c>
      <c r="Q18" s="45">
        <v>40</v>
      </c>
      <c r="R18" s="45">
        <v>1</v>
      </c>
      <c r="S18" s="45">
        <v>88</v>
      </c>
      <c r="T18" s="45">
        <v>66</v>
      </c>
      <c r="U18" s="45">
        <v>75</v>
      </c>
      <c r="V18" s="46">
        <f t="shared" si="1"/>
        <v>270</v>
      </c>
      <c r="W18" s="45">
        <v>41</v>
      </c>
      <c r="X18" s="45">
        <v>25</v>
      </c>
      <c r="Y18" s="45">
        <v>48</v>
      </c>
      <c r="Z18" s="45">
        <v>55</v>
      </c>
      <c r="AA18" s="45">
        <v>76</v>
      </c>
      <c r="AC18" s="44">
        <v>1591</v>
      </c>
      <c r="AD18" s="44" t="s">
        <v>472</v>
      </c>
      <c r="AE18" s="45">
        <v>46</v>
      </c>
      <c r="AF18" s="45">
        <v>43</v>
      </c>
      <c r="AG18" s="45">
        <v>55</v>
      </c>
      <c r="AH18" s="45">
        <v>29</v>
      </c>
      <c r="AI18" s="45">
        <v>18</v>
      </c>
      <c r="AJ18" s="46">
        <f t="shared" si="2"/>
        <v>191</v>
      </c>
      <c r="AK18" s="45">
        <v>71</v>
      </c>
      <c r="AL18" s="45">
        <v>26</v>
      </c>
      <c r="AM18" s="45">
        <v>23</v>
      </c>
      <c r="AN18" s="45">
        <v>72</v>
      </c>
      <c r="AO18" s="45">
        <v>83</v>
      </c>
      <c r="AQ18" s="44">
        <v>1017</v>
      </c>
      <c r="AR18" s="44" t="s">
        <v>472</v>
      </c>
      <c r="AS18" s="45">
        <v>3</v>
      </c>
      <c r="AT18" s="45">
        <v>5</v>
      </c>
      <c r="AU18" s="45">
        <v>14</v>
      </c>
      <c r="AV18" s="45">
        <v>32</v>
      </c>
      <c r="AW18" s="45">
        <v>61</v>
      </c>
      <c r="AX18" s="48">
        <f t="shared" si="3"/>
        <v>115</v>
      </c>
      <c r="AY18" s="45">
        <v>27</v>
      </c>
      <c r="AZ18" s="45">
        <v>41</v>
      </c>
      <c r="BA18" s="45">
        <v>69</v>
      </c>
      <c r="BB18" s="45">
        <v>63</v>
      </c>
      <c r="BC18" s="45">
        <v>56</v>
      </c>
      <c r="BE18" s="44">
        <v>913</v>
      </c>
      <c r="BF18" s="44" t="s">
        <v>475</v>
      </c>
      <c r="BG18" s="45">
        <v>31</v>
      </c>
      <c r="BH18" s="45">
        <v>87</v>
      </c>
      <c r="BI18" s="45">
        <v>4</v>
      </c>
      <c r="BJ18" s="45">
        <v>80</v>
      </c>
      <c r="BK18" s="45">
        <v>54</v>
      </c>
      <c r="BL18" s="46">
        <f t="shared" si="4"/>
        <v>256</v>
      </c>
      <c r="BM18" s="45">
        <v>24</v>
      </c>
      <c r="BN18" s="45">
        <v>82</v>
      </c>
      <c r="BO18" s="45">
        <v>76</v>
      </c>
      <c r="BP18" s="45">
        <v>28</v>
      </c>
      <c r="BQ18" s="45">
        <v>66</v>
      </c>
      <c r="BS18" s="44">
        <v>601</v>
      </c>
      <c r="BT18" s="44" t="s">
        <v>470</v>
      </c>
      <c r="BU18" s="45">
        <v>6</v>
      </c>
      <c r="BV18" s="45">
        <v>59</v>
      </c>
      <c r="BW18" s="45">
        <v>35</v>
      </c>
      <c r="BX18" s="45">
        <v>52</v>
      </c>
      <c r="BY18" s="45">
        <v>44</v>
      </c>
      <c r="BZ18" s="46">
        <f t="shared" si="5"/>
        <v>196</v>
      </c>
      <c r="CA18" s="45">
        <v>38</v>
      </c>
      <c r="CB18" s="45">
        <v>71</v>
      </c>
      <c r="CC18" s="45">
        <v>37</v>
      </c>
      <c r="CD18" s="45">
        <v>62</v>
      </c>
      <c r="CE18" s="45">
        <v>46</v>
      </c>
      <c r="CG18" s="44">
        <v>496</v>
      </c>
      <c r="CH18" s="44" t="s">
        <v>466</v>
      </c>
      <c r="CI18" s="45">
        <v>55</v>
      </c>
      <c r="CJ18" s="45">
        <v>13</v>
      </c>
      <c r="CK18" s="45">
        <v>66</v>
      </c>
      <c r="CL18" s="45">
        <v>81</v>
      </c>
      <c r="CM18" s="45">
        <v>7</v>
      </c>
      <c r="CN18" s="46">
        <f t="shared" si="6"/>
        <v>222</v>
      </c>
      <c r="CO18" s="45">
        <v>58</v>
      </c>
      <c r="CP18" s="45">
        <v>89</v>
      </c>
      <c r="CQ18" s="45">
        <v>39</v>
      </c>
      <c r="CR18" s="45">
        <v>88</v>
      </c>
      <c r="CS18" s="45">
        <v>83</v>
      </c>
    </row>
    <row r="19" spans="1:97" x14ac:dyDescent="0.2">
      <c r="A19" s="49">
        <v>2008</v>
      </c>
      <c r="B19" s="49" t="s">
        <v>484</v>
      </c>
      <c r="C19" s="50">
        <v>20</v>
      </c>
      <c r="D19" s="50">
        <v>41</v>
      </c>
      <c r="E19" s="50">
        <v>37</v>
      </c>
      <c r="F19" s="50">
        <v>48</v>
      </c>
      <c r="G19" s="50">
        <v>59</v>
      </c>
      <c r="H19" s="46">
        <f t="shared" si="0"/>
        <v>205</v>
      </c>
      <c r="I19" s="50">
        <v>17</v>
      </c>
      <c r="J19" s="50">
        <v>9</v>
      </c>
      <c r="K19" s="50">
        <v>81</v>
      </c>
      <c r="L19" s="50">
        <v>78</v>
      </c>
      <c r="M19" s="50">
        <v>38</v>
      </c>
      <c r="O19" s="49">
        <v>1801</v>
      </c>
      <c r="P19" s="49" t="s">
        <v>483</v>
      </c>
      <c r="Q19" s="50">
        <v>26</v>
      </c>
      <c r="R19" s="50">
        <v>63</v>
      </c>
      <c r="S19" s="50">
        <v>27</v>
      </c>
      <c r="T19" s="50">
        <v>79</v>
      </c>
      <c r="U19" s="50">
        <v>77</v>
      </c>
      <c r="V19" s="46">
        <f t="shared" si="1"/>
        <v>272</v>
      </c>
      <c r="W19" s="50">
        <v>17</v>
      </c>
      <c r="X19" s="50">
        <v>44</v>
      </c>
      <c r="Y19" s="50">
        <v>9</v>
      </c>
      <c r="Z19" s="50">
        <v>41</v>
      </c>
      <c r="AA19" s="50">
        <v>64</v>
      </c>
      <c r="AC19" s="49">
        <v>1592</v>
      </c>
      <c r="AD19" s="49" t="s">
        <v>480</v>
      </c>
      <c r="AE19" s="50">
        <v>27</v>
      </c>
      <c r="AF19" s="50">
        <v>7</v>
      </c>
      <c r="AG19" s="50">
        <v>61</v>
      </c>
      <c r="AH19" s="50">
        <v>33</v>
      </c>
      <c r="AI19" s="50">
        <v>29</v>
      </c>
      <c r="AJ19" s="51">
        <f t="shared" si="2"/>
        <v>157</v>
      </c>
      <c r="AK19" s="50">
        <v>42</v>
      </c>
      <c r="AL19" s="50">
        <v>32</v>
      </c>
      <c r="AM19" s="50">
        <v>50</v>
      </c>
      <c r="AN19" s="50">
        <v>6</v>
      </c>
      <c r="AO19" s="50">
        <v>2</v>
      </c>
      <c r="AQ19" s="49">
        <v>1018</v>
      </c>
      <c r="AR19" s="49" t="s">
        <v>480</v>
      </c>
      <c r="AS19" s="50">
        <v>49</v>
      </c>
      <c r="AT19" s="50">
        <v>36</v>
      </c>
      <c r="AU19" s="50">
        <v>15</v>
      </c>
      <c r="AV19" s="50">
        <v>51</v>
      </c>
      <c r="AW19" s="50">
        <v>29</v>
      </c>
      <c r="AX19" s="51">
        <f t="shared" si="3"/>
        <v>180</v>
      </c>
      <c r="AY19" s="50">
        <v>37</v>
      </c>
      <c r="AZ19" s="50">
        <v>3</v>
      </c>
      <c r="BA19" s="50">
        <v>53</v>
      </c>
      <c r="BB19" s="50">
        <v>75</v>
      </c>
      <c r="BC19" s="50">
        <v>41</v>
      </c>
      <c r="BE19" s="49">
        <v>914</v>
      </c>
      <c r="BF19" s="49" t="s">
        <v>483</v>
      </c>
      <c r="BG19" s="50">
        <v>2</v>
      </c>
      <c r="BH19" s="50">
        <v>19</v>
      </c>
      <c r="BI19" s="50">
        <v>47</v>
      </c>
      <c r="BJ19" s="50">
        <v>16</v>
      </c>
      <c r="BK19" s="50">
        <v>52</v>
      </c>
      <c r="BL19" s="51">
        <f t="shared" si="4"/>
        <v>136</v>
      </c>
      <c r="BM19" s="50">
        <v>53</v>
      </c>
      <c r="BN19" s="50">
        <v>49</v>
      </c>
      <c r="BO19" s="50">
        <v>10</v>
      </c>
      <c r="BP19" s="50">
        <v>28</v>
      </c>
      <c r="BQ19" s="50">
        <v>20</v>
      </c>
      <c r="BS19" s="49">
        <v>602</v>
      </c>
      <c r="BT19" s="49" t="s">
        <v>478</v>
      </c>
      <c r="BU19" s="50">
        <v>87</v>
      </c>
      <c r="BV19" s="50">
        <v>89</v>
      </c>
      <c r="BW19" s="50">
        <v>56</v>
      </c>
      <c r="BX19" s="50">
        <v>3</v>
      </c>
      <c r="BY19" s="50">
        <v>1</v>
      </c>
      <c r="BZ19" s="46">
        <f t="shared" si="5"/>
        <v>236</v>
      </c>
      <c r="CA19" s="50">
        <v>78</v>
      </c>
      <c r="CB19" s="50">
        <v>49</v>
      </c>
      <c r="CC19" s="50">
        <v>88</v>
      </c>
      <c r="CD19" s="50">
        <v>12</v>
      </c>
      <c r="CE19" s="50">
        <v>54</v>
      </c>
      <c r="CG19" s="49">
        <v>497</v>
      </c>
      <c r="CH19" s="49" t="s">
        <v>474</v>
      </c>
      <c r="CI19" s="50">
        <v>49</v>
      </c>
      <c r="CJ19" s="50">
        <v>89</v>
      </c>
      <c r="CK19" s="50">
        <v>67</v>
      </c>
      <c r="CL19" s="50">
        <v>22</v>
      </c>
      <c r="CM19" s="50">
        <v>31</v>
      </c>
      <c r="CN19" s="46">
        <f t="shared" si="6"/>
        <v>258</v>
      </c>
      <c r="CO19" s="50">
        <v>79</v>
      </c>
      <c r="CP19" s="50">
        <v>14</v>
      </c>
      <c r="CQ19" s="50">
        <v>72</v>
      </c>
      <c r="CR19" s="50">
        <v>45</v>
      </c>
      <c r="CS19" s="50">
        <v>30</v>
      </c>
    </row>
    <row r="20" spans="1:97" x14ac:dyDescent="0.2">
      <c r="A20" s="44">
        <v>2009</v>
      </c>
      <c r="B20" s="44" t="s">
        <v>491</v>
      </c>
      <c r="C20" s="45">
        <v>45</v>
      </c>
      <c r="D20" s="45">
        <v>77</v>
      </c>
      <c r="E20" s="45">
        <v>78</v>
      </c>
      <c r="F20" s="45">
        <v>68</v>
      </c>
      <c r="G20" s="45">
        <v>2</v>
      </c>
      <c r="H20" s="46">
        <f t="shared" si="0"/>
        <v>270</v>
      </c>
      <c r="I20" s="45">
        <v>16</v>
      </c>
      <c r="J20" s="45">
        <v>60</v>
      </c>
      <c r="K20" s="45">
        <v>53</v>
      </c>
      <c r="L20" s="45">
        <v>65</v>
      </c>
      <c r="M20" s="45">
        <v>13</v>
      </c>
      <c r="O20" s="44">
        <v>1802</v>
      </c>
      <c r="P20" s="44" t="s">
        <v>490</v>
      </c>
      <c r="Q20" s="45">
        <v>38</v>
      </c>
      <c r="R20" s="45">
        <v>54</v>
      </c>
      <c r="S20" s="45">
        <v>75</v>
      </c>
      <c r="T20" s="45">
        <v>35</v>
      </c>
      <c r="U20" s="45">
        <v>86</v>
      </c>
      <c r="V20" s="46">
        <f t="shared" si="1"/>
        <v>288</v>
      </c>
      <c r="W20" s="45">
        <v>62</v>
      </c>
      <c r="X20" s="45">
        <v>87</v>
      </c>
      <c r="Y20" s="45">
        <v>81</v>
      </c>
      <c r="Z20" s="45">
        <v>84</v>
      </c>
      <c r="AA20" s="45">
        <v>49</v>
      </c>
      <c r="AC20" s="44">
        <v>1593</v>
      </c>
      <c r="AD20" s="44" t="s">
        <v>487</v>
      </c>
      <c r="AE20" s="45">
        <v>66</v>
      </c>
      <c r="AF20" s="45">
        <v>36</v>
      </c>
      <c r="AG20" s="45">
        <v>3</v>
      </c>
      <c r="AH20" s="45">
        <v>53</v>
      </c>
      <c r="AI20" s="45">
        <v>25</v>
      </c>
      <c r="AJ20" s="48">
        <f t="shared" si="2"/>
        <v>183</v>
      </c>
      <c r="AK20" s="45">
        <v>35</v>
      </c>
      <c r="AL20" s="45">
        <v>38</v>
      </c>
      <c r="AM20" s="45">
        <v>18</v>
      </c>
      <c r="AN20" s="45">
        <v>60</v>
      </c>
      <c r="AO20" s="45">
        <v>59</v>
      </c>
      <c r="AQ20" s="44">
        <v>1019</v>
      </c>
      <c r="AR20" s="44" t="s">
        <v>487</v>
      </c>
      <c r="AS20" s="45">
        <v>26</v>
      </c>
      <c r="AT20" s="45">
        <v>82</v>
      </c>
      <c r="AU20" s="45">
        <v>41</v>
      </c>
      <c r="AV20" s="45">
        <v>47</v>
      </c>
      <c r="AW20" s="45">
        <v>66</v>
      </c>
      <c r="AX20" s="46">
        <f t="shared" si="3"/>
        <v>262</v>
      </c>
      <c r="AY20" s="45">
        <v>77</v>
      </c>
      <c r="AZ20" s="45">
        <v>83</v>
      </c>
      <c r="BA20" s="45">
        <v>7</v>
      </c>
      <c r="BB20" s="45">
        <v>13</v>
      </c>
      <c r="BC20" s="45">
        <v>32</v>
      </c>
      <c r="BE20" s="44">
        <v>915</v>
      </c>
      <c r="BF20" s="44" t="s">
        <v>490</v>
      </c>
      <c r="BG20" s="45">
        <v>6</v>
      </c>
      <c r="BH20" s="45">
        <v>47</v>
      </c>
      <c r="BI20" s="45">
        <v>21</v>
      </c>
      <c r="BJ20" s="45">
        <v>35</v>
      </c>
      <c r="BK20" s="45">
        <v>62</v>
      </c>
      <c r="BL20" s="48">
        <f t="shared" si="4"/>
        <v>171</v>
      </c>
      <c r="BM20" s="45">
        <v>61</v>
      </c>
      <c r="BN20" s="45">
        <v>39</v>
      </c>
      <c r="BO20" s="45">
        <v>73</v>
      </c>
      <c r="BP20" s="45">
        <v>26</v>
      </c>
      <c r="BQ20" s="45">
        <v>12</v>
      </c>
      <c r="BS20" s="44">
        <v>603</v>
      </c>
      <c r="BT20" s="44" t="s">
        <v>485</v>
      </c>
      <c r="BU20" s="45">
        <v>67</v>
      </c>
      <c r="BV20" s="45">
        <v>4</v>
      </c>
      <c r="BW20" s="45">
        <v>58</v>
      </c>
      <c r="BX20" s="45">
        <v>84</v>
      </c>
      <c r="BY20" s="45">
        <v>78</v>
      </c>
      <c r="BZ20" s="46">
        <f t="shared" si="5"/>
        <v>291</v>
      </c>
      <c r="CA20" s="45">
        <v>37</v>
      </c>
      <c r="CB20" s="45">
        <v>30</v>
      </c>
      <c r="CC20" s="45">
        <v>66</v>
      </c>
      <c r="CD20" s="45">
        <v>68</v>
      </c>
      <c r="CE20" s="45">
        <v>24</v>
      </c>
      <c r="CG20" s="44">
        <v>498</v>
      </c>
      <c r="CH20" s="44" t="s">
        <v>482</v>
      </c>
      <c r="CI20" s="45">
        <v>50</v>
      </c>
      <c r="CJ20" s="45">
        <v>65</v>
      </c>
      <c r="CK20" s="45">
        <v>17</v>
      </c>
      <c r="CL20" s="45">
        <v>22</v>
      </c>
      <c r="CM20" s="45">
        <v>34</v>
      </c>
      <c r="CN20" s="46">
        <f t="shared" si="6"/>
        <v>188</v>
      </c>
      <c r="CO20" s="45">
        <v>2</v>
      </c>
      <c r="CP20" s="45">
        <v>29</v>
      </c>
      <c r="CQ20" s="45">
        <v>46</v>
      </c>
      <c r="CR20" s="45">
        <v>55</v>
      </c>
      <c r="CS20" s="45">
        <v>59</v>
      </c>
    </row>
    <row r="21" spans="1:97" x14ac:dyDescent="0.2">
      <c r="A21" s="49">
        <v>2010</v>
      </c>
      <c r="B21" s="49" t="s">
        <v>498</v>
      </c>
      <c r="C21" s="50">
        <v>73</v>
      </c>
      <c r="D21" s="50">
        <v>19</v>
      </c>
      <c r="E21" s="50">
        <v>77</v>
      </c>
      <c r="F21" s="50">
        <v>22</v>
      </c>
      <c r="G21" s="50">
        <v>30</v>
      </c>
      <c r="H21" s="46">
        <f t="shared" si="0"/>
        <v>221</v>
      </c>
      <c r="I21" s="50">
        <v>52</v>
      </c>
      <c r="J21" s="50">
        <v>76</v>
      </c>
      <c r="K21" s="50">
        <v>9</v>
      </c>
      <c r="L21" s="50">
        <v>44</v>
      </c>
      <c r="M21" s="50">
        <v>36</v>
      </c>
      <c r="O21" s="49">
        <v>1803</v>
      </c>
      <c r="P21" s="49" t="s">
        <v>497</v>
      </c>
      <c r="Q21" s="50">
        <v>35</v>
      </c>
      <c r="R21" s="50">
        <v>22</v>
      </c>
      <c r="S21" s="50">
        <v>19</v>
      </c>
      <c r="T21" s="50">
        <v>59</v>
      </c>
      <c r="U21" s="50">
        <v>76</v>
      </c>
      <c r="V21" s="46">
        <f t="shared" si="1"/>
        <v>211</v>
      </c>
      <c r="W21" s="50">
        <v>79</v>
      </c>
      <c r="X21" s="50">
        <v>7</v>
      </c>
      <c r="Y21" s="50">
        <v>2</v>
      </c>
      <c r="Z21" s="50">
        <v>10</v>
      </c>
      <c r="AA21" s="50">
        <v>20</v>
      </c>
      <c r="AC21" s="49">
        <v>1594</v>
      </c>
      <c r="AD21" s="49" t="s">
        <v>494</v>
      </c>
      <c r="AE21" s="50">
        <v>43</v>
      </c>
      <c r="AF21" s="50">
        <v>60</v>
      </c>
      <c r="AG21" s="50">
        <v>22</v>
      </c>
      <c r="AH21" s="50">
        <v>6</v>
      </c>
      <c r="AI21" s="50">
        <v>52</v>
      </c>
      <c r="AJ21" s="51">
        <f t="shared" si="2"/>
        <v>183</v>
      </c>
      <c r="AK21" s="50">
        <v>8</v>
      </c>
      <c r="AL21" s="50">
        <v>79</v>
      </c>
      <c r="AM21" s="50">
        <v>62</v>
      </c>
      <c r="AN21" s="50">
        <v>24</v>
      </c>
      <c r="AO21" s="50">
        <v>37</v>
      </c>
      <c r="AQ21" s="49">
        <v>1020</v>
      </c>
      <c r="AR21" s="49" t="s">
        <v>494</v>
      </c>
      <c r="AS21" s="50">
        <v>61</v>
      </c>
      <c r="AT21" s="50">
        <v>1</v>
      </c>
      <c r="AU21" s="50">
        <v>39</v>
      </c>
      <c r="AV21" s="50">
        <v>6</v>
      </c>
      <c r="AW21" s="50">
        <v>18</v>
      </c>
      <c r="AX21" s="51">
        <f t="shared" si="3"/>
        <v>125</v>
      </c>
      <c r="AY21" s="50">
        <v>55</v>
      </c>
      <c r="AZ21" s="50">
        <v>88</v>
      </c>
      <c r="BA21" s="50">
        <v>36</v>
      </c>
      <c r="BB21" s="50">
        <v>3</v>
      </c>
      <c r="BC21" s="50">
        <v>4</v>
      </c>
      <c r="BE21" s="49">
        <v>916</v>
      </c>
      <c r="BF21" s="49" t="s">
        <v>497</v>
      </c>
      <c r="BG21" s="50">
        <v>1</v>
      </c>
      <c r="BH21" s="50">
        <v>16</v>
      </c>
      <c r="BI21" s="50">
        <v>2</v>
      </c>
      <c r="BJ21" s="50">
        <v>29</v>
      </c>
      <c r="BK21" s="50">
        <v>27</v>
      </c>
      <c r="BL21" s="51">
        <f t="shared" si="4"/>
        <v>75</v>
      </c>
      <c r="BM21" s="50">
        <v>60</v>
      </c>
      <c r="BN21" s="50">
        <v>87</v>
      </c>
      <c r="BO21" s="50">
        <v>71</v>
      </c>
      <c r="BP21" s="50">
        <v>58</v>
      </c>
      <c r="BQ21" s="50">
        <v>40</v>
      </c>
      <c r="BS21" s="49">
        <v>604</v>
      </c>
      <c r="BT21" s="49" t="s">
        <v>492</v>
      </c>
      <c r="BU21" s="50">
        <v>56</v>
      </c>
      <c r="BV21" s="50">
        <v>60</v>
      </c>
      <c r="BW21" s="50">
        <v>71</v>
      </c>
      <c r="BX21" s="50">
        <v>5</v>
      </c>
      <c r="BY21" s="50">
        <v>2</v>
      </c>
      <c r="BZ21" s="46">
        <f t="shared" si="5"/>
        <v>194</v>
      </c>
      <c r="CA21" s="50">
        <v>43</v>
      </c>
      <c r="CB21" s="50">
        <v>79</v>
      </c>
      <c r="CC21" s="50">
        <v>48</v>
      </c>
      <c r="CD21" s="50">
        <v>3</v>
      </c>
      <c r="CE21" s="50">
        <v>36</v>
      </c>
      <c r="CG21" s="49">
        <v>499</v>
      </c>
      <c r="CH21" s="49" t="s">
        <v>489</v>
      </c>
      <c r="CI21" s="50">
        <v>1</v>
      </c>
      <c r="CJ21" s="50">
        <v>38</v>
      </c>
      <c r="CK21" s="50">
        <v>17</v>
      </c>
      <c r="CL21" s="50">
        <v>31</v>
      </c>
      <c r="CM21" s="50">
        <v>15</v>
      </c>
      <c r="CN21" s="51">
        <f t="shared" si="6"/>
        <v>102</v>
      </c>
      <c r="CO21" s="50">
        <v>21</v>
      </c>
      <c r="CP21" s="50">
        <v>76</v>
      </c>
      <c r="CQ21" s="50">
        <v>10</v>
      </c>
      <c r="CR21" s="50">
        <v>68</v>
      </c>
      <c r="CS21" s="50">
        <v>25</v>
      </c>
    </row>
    <row r="22" spans="1:97" x14ac:dyDescent="0.2">
      <c r="A22" s="44">
        <v>2011</v>
      </c>
      <c r="B22" s="44" t="s">
        <v>505</v>
      </c>
      <c r="C22" s="45">
        <v>56</v>
      </c>
      <c r="D22" s="45">
        <v>90</v>
      </c>
      <c r="E22" s="45">
        <v>77</v>
      </c>
      <c r="F22" s="45">
        <v>12</v>
      </c>
      <c r="G22" s="45">
        <v>84</v>
      </c>
      <c r="H22" s="46">
        <f t="shared" si="0"/>
        <v>319</v>
      </c>
      <c r="I22" s="45">
        <v>73</v>
      </c>
      <c r="J22" s="45">
        <v>59</v>
      </c>
      <c r="K22" s="45">
        <v>78</v>
      </c>
      <c r="L22" s="45">
        <v>46</v>
      </c>
      <c r="M22" s="45">
        <v>71</v>
      </c>
      <c r="O22" s="44">
        <v>1804</v>
      </c>
      <c r="P22" s="44" t="s">
        <v>504</v>
      </c>
      <c r="Q22" s="45">
        <v>42</v>
      </c>
      <c r="R22" s="45">
        <v>9</v>
      </c>
      <c r="S22" s="45">
        <v>28</v>
      </c>
      <c r="T22" s="45">
        <v>81</v>
      </c>
      <c r="U22" s="45">
        <v>70</v>
      </c>
      <c r="V22" s="46">
        <f t="shared" si="1"/>
        <v>230</v>
      </c>
      <c r="W22" s="45">
        <v>7</v>
      </c>
      <c r="X22" s="45">
        <v>79</v>
      </c>
      <c r="Y22" s="45">
        <v>73</v>
      </c>
      <c r="Z22" s="45">
        <v>8</v>
      </c>
      <c r="AA22" s="45">
        <v>30</v>
      </c>
      <c r="AC22" s="44">
        <v>1595</v>
      </c>
      <c r="AD22" s="44" t="s">
        <v>501</v>
      </c>
      <c r="AE22" s="45">
        <v>6</v>
      </c>
      <c r="AF22" s="45">
        <v>62</v>
      </c>
      <c r="AG22" s="45">
        <v>30</v>
      </c>
      <c r="AH22" s="45">
        <v>33</v>
      </c>
      <c r="AI22" s="45">
        <v>67</v>
      </c>
      <c r="AJ22" s="46">
        <f t="shared" si="2"/>
        <v>198</v>
      </c>
      <c r="AK22" s="45">
        <v>21</v>
      </c>
      <c r="AL22" s="45">
        <v>71</v>
      </c>
      <c r="AM22" s="45">
        <v>26</v>
      </c>
      <c r="AN22" s="45">
        <v>16</v>
      </c>
      <c r="AO22" s="45">
        <v>81</v>
      </c>
      <c r="AQ22" s="44">
        <v>1021</v>
      </c>
      <c r="AR22" s="44" t="s">
        <v>501</v>
      </c>
      <c r="AS22" s="45">
        <v>77</v>
      </c>
      <c r="AT22" s="45">
        <v>43</v>
      </c>
      <c r="AU22" s="45">
        <v>16</v>
      </c>
      <c r="AV22" s="45">
        <v>32</v>
      </c>
      <c r="AW22" s="45">
        <v>80</v>
      </c>
      <c r="AX22" s="46">
        <f t="shared" si="3"/>
        <v>248</v>
      </c>
      <c r="AY22" s="45">
        <v>3</v>
      </c>
      <c r="AZ22" s="45">
        <v>85</v>
      </c>
      <c r="BA22" s="45">
        <v>75</v>
      </c>
      <c r="BB22" s="45">
        <v>19</v>
      </c>
      <c r="BC22" s="45">
        <v>68</v>
      </c>
      <c r="BE22" s="44">
        <v>917</v>
      </c>
      <c r="BF22" s="44" t="s">
        <v>504</v>
      </c>
      <c r="BG22" s="45">
        <v>70</v>
      </c>
      <c r="BH22" s="45">
        <v>63</v>
      </c>
      <c r="BI22" s="45">
        <v>7</v>
      </c>
      <c r="BJ22" s="45">
        <v>76</v>
      </c>
      <c r="BK22" s="45">
        <v>90</v>
      </c>
      <c r="BL22" s="46">
        <f t="shared" si="4"/>
        <v>306</v>
      </c>
      <c r="BM22" s="45">
        <v>53</v>
      </c>
      <c r="BN22" s="45">
        <v>54</v>
      </c>
      <c r="BO22" s="45">
        <v>61</v>
      </c>
      <c r="BP22" s="45">
        <v>67</v>
      </c>
      <c r="BQ22" s="45">
        <v>47</v>
      </c>
      <c r="BS22" s="44">
        <v>605</v>
      </c>
      <c r="BT22" s="44" t="s">
        <v>499</v>
      </c>
      <c r="BU22" s="45">
        <v>74</v>
      </c>
      <c r="BV22" s="45">
        <v>46</v>
      </c>
      <c r="BW22" s="45">
        <v>71</v>
      </c>
      <c r="BX22" s="45">
        <v>79</v>
      </c>
      <c r="BY22" s="45">
        <v>89</v>
      </c>
      <c r="BZ22" s="46">
        <f t="shared" si="5"/>
        <v>359</v>
      </c>
      <c r="CA22" s="45">
        <v>41</v>
      </c>
      <c r="CB22" s="45">
        <v>47</v>
      </c>
      <c r="CC22" s="45">
        <v>39</v>
      </c>
      <c r="CD22" s="45">
        <v>25</v>
      </c>
      <c r="CE22" s="45">
        <v>2</v>
      </c>
      <c r="CG22" s="44">
        <v>500</v>
      </c>
      <c r="CH22" s="44" t="s">
        <v>496</v>
      </c>
      <c r="CI22" s="45">
        <v>11</v>
      </c>
      <c r="CJ22" s="45">
        <v>24</v>
      </c>
      <c r="CK22" s="45">
        <v>83</v>
      </c>
      <c r="CL22" s="45">
        <v>31</v>
      </c>
      <c r="CM22" s="45">
        <v>48</v>
      </c>
      <c r="CN22" s="46">
        <f t="shared" si="6"/>
        <v>197</v>
      </c>
      <c r="CO22" s="45">
        <v>70</v>
      </c>
      <c r="CP22" s="45">
        <v>87</v>
      </c>
      <c r="CQ22" s="45">
        <v>18</v>
      </c>
      <c r="CR22" s="45">
        <v>44</v>
      </c>
      <c r="CS22" s="45">
        <v>33</v>
      </c>
    </row>
    <row r="23" spans="1:97" x14ac:dyDescent="0.2">
      <c r="A23" s="49">
        <v>2012</v>
      </c>
      <c r="B23" s="49" t="s">
        <v>512</v>
      </c>
      <c r="C23" s="50">
        <v>20</v>
      </c>
      <c r="D23" s="50">
        <v>39</v>
      </c>
      <c r="E23" s="50">
        <v>6</v>
      </c>
      <c r="F23" s="50">
        <v>54</v>
      </c>
      <c r="G23" s="50">
        <v>65</v>
      </c>
      <c r="H23" s="46">
        <f t="shared" si="0"/>
        <v>184</v>
      </c>
      <c r="I23" s="50">
        <v>14</v>
      </c>
      <c r="J23" s="50">
        <v>29</v>
      </c>
      <c r="K23" s="50">
        <v>61</v>
      </c>
      <c r="L23" s="50">
        <v>2</v>
      </c>
      <c r="M23" s="50">
        <v>60</v>
      </c>
      <c r="O23" s="49">
        <v>1805</v>
      </c>
      <c r="P23" s="49" t="s">
        <v>511</v>
      </c>
      <c r="Q23" s="50">
        <v>11</v>
      </c>
      <c r="R23" s="50">
        <v>40</v>
      </c>
      <c r="S23" s="50">
        <v>75</v>
      </c>
      <c r="T23" s="50">
        <v>12</v>
      </c>
      <c r="U23" s="50">
        <v>20</v>
      </c>
      <c r="V23" s="51">
        <f t="shared" si="1"/>
        <v>158</v>
      </c>
      <c r="W23" s="50">
        <v>50</v>
      </c>
      <c r="X23" s="50">
        <v>5</v>
      </c>
      <c r="Y23" s="50">
        <v>18</v>
      </c>
      <c r="Z23" s="50">
        <v>19</v>
      </c>
      <c r="AA23" s="50">
        <v>54</v>
      </c>
      <c r="AC23" s="49">
        <v>1596</v>
      </c>
      <c r="AD23" s="49" t="s">
        <v>508</v>
      </c>
      <c r="AE23" s="50">
        <v>25</v>
      </c>
      <c r="AF23" s="50">
        <v>87</v>
      </c>
      <c r="AG23" s="50">
        <v>3</v>
      </c>
      <c r="AH23" s="50">
        <v>77</v>
      </c>
      <c r="AI23" s="50">
        <v>54</v>
      </c>
      <c r="AJ23" s="46">
        <f t="shared" si="2"/>
        <v>246</v>
      </c>
      <c r="AK23" s="50">
        <v>1</v>
      </c>
      <c r="AL23" s="50">
        <v>49</v>
      </c>
      <c r="AM23" s="50">
        <v>15</v>
      </c>
      <c r="AN23" s="50">
        <v>40</v>
      </c>
      <c r="AO23" s="50">
        <v>51</v>
      </c>
      <c r="AQ23" s="49">
        <v>1022</v>
      </c>
      <c r="AR23" s="49" t="s">
        <v>508</v>
      </c>
      <c r="AS23" s="50">
        <v>19</v>
      </c>
      <c r="AT23" s="50">
        <v>57</v>
      </c>
      <c r="AU23" s="50">
        <v>40</v>
      </c>
      <c r="AV23" s="50">
        <v>72</v>
      </c>
      <c r="AW23" s="50">
        <v>70</v>
      </c>
      <c r="AX23" s="46">
        <f t="shared" si="3"/>
        <v>258</v>
      </c>
      <c r="AY23" s="50">
        <v>58</v>
      </c>
      <c r="AZ23" s="50">
        <v>46</v>
      </c>
      <c r="BA23" s="50">
        <v>67</v>
      </c>
      <c r="BB23" s="50">
        <v>78</v>
      </c>
      <c r="BC23" s="50">
        <v>32</v>
      </c>
      <c r="BE23" s="49">
        <v>918</v>
      </c>
      <c r="BF23" s="49" t="s">
        <v>511</v>
      </c>
      <c r="BG23" s="50">
        <v>82</v>
      </c>
      <c r="BH23" s="50">
        <v>10</v>
      </c>
      <c r="BI23" s="50">
        <v>45</v>
      </c>
      <c r="BJ23" s="50">
        <v>66</v>
      </c>
      <c r="BK23" s="50">
        <v>77</v>
      </c>
      <c r="BL23" s="46">
        <f t="shared" si="4"/>
        <v>280</v>
      </c>
      <c r="BM23" s="50">
        <v>58</v>
      </c>
      <c r="BN23" s="50">
        <v>49</v>
      </c>
      <c r="BO23" s="50">
        <v>40</v>
      </c>
      <c r="BP23" s="50">
        <v>56</v>
      </c>
      <c r="BQ23" s="50">
        <v>60</v>
      </c>
      <c r="BS23" s="49">
        <v>606</v>
      </c>
      <c r="BT23" s="49" t="s">
        <v>506</v>
      </c>
      <c r="BU23" s="50">
        <v>74</v>
      </c>
      <c r="BV23" s="50">
        <v>40</v>
      </c>
      <c r="BW23" s="50">
        <v>53</v>
      </c>
      <c r="BX23" s="50">
        <v>51</v>
      </c>
      <c r="BY23" s="50">
        <v>77</v>
      </c>
      <c r="BZ23" s="46">
        <f t="shared" si="5"/>
        <v>295</v>
      </c>
      <c r="CA23" s="50">
        <v>6</v>
      </c>
      <c r="CB23" s="50">
        <v>16</v>
      </c>
      <c r="CC23" s="50">
        <v>35</v>
      </c>
      <c r="CD23" s="50">
        <v>41</v>
      </c>
      <c r="CE23" s="50">
        <v>25</v>
      </c>
      <c r="CG23" s="49">
        <v>501</v>
      </c>
      <c r="CH23" s="49" t="s">
        <v>503</v>
      </c>
      <c r="CI23" s="50">
        <v>9</v>
      </c>
      <c r="CJ23" s="50">
        <v>18</v>
      </c>
      <c r="CK23" s="50">
        <v>19</v>
      </c>
      <c r="CL23" s="50">
        <v>54</v>
      </c>
      <c r="CM23" s="50">
        <v>23</v>
      </c>
      <c r="CN23" s="51">
        <f t="shared" si="6"/>
        <v>123</v>
      </c>
      <c r="CO23" s="50">
        <v>75</v>
      </c>
      <c r="CP23" s="50">
        <v>34</v>
      </c>
      <c r="CQ23" s="50">
        <v>3</v>
      </c>
      <c r="CR23" s="50">
        <v>25</v>
      </c>
      <c r="CS23" s="50">
        <v>84</v>
      </c>
    </row>
    <row r="24" spans="1:97" x14ac:dyDescent="0.2">
      <c r="A24" s="44">
        <v>2013</v>
      </c>
      <c r="B24" s="44" t="s">
        <v>519</v>
      </c>
      <c r="C24" s="45">
        <v>90</v>
      </c>
      <c r="D24" s="45">
        <v>49</v>
      </c>
      <c r="E24" s="45">
        <v>79</v>
      </c>
      <c r="F24" s="45">
        <v>86</v>
      </c>
      <c r="G24" s="45">
        <v>73</v>
      </c>
      <c r="H24" s="46">
        <f t="shared" si="0"/>
        <v>377</v>
      </c>
      <c r="I24" s="45">
        <v>56</v>
      </c>
      <c r="J24" s="45">
        <v>21</v>
      </c>
      <c r="K24" s="45">
        <v>84</v>
      </c>
      <c r="L24" s="45">
        <v>80</v>
      </c>
      <c r="M24" s="45">
        <v>83</v>
      </c>
      <c r="O24" s="44">
        <v>1806</v>
      </c>
      <c r="P24" s="44" t="s">
        <v>518</v>
      </c>
      <c r="Q24" s="45">
        <v>58</v>
      </c>
      <c r="R24" s="45">
        <v>60</v>
      </c>
      <c r="S24" s="45">
        <v>10</v>
      </c>
      <c r="T24" s="45">
        <v>61</v>
      </c>
      <c r="U24" s="45">
        <v>44</v>
      </c>
      <c r="V24" s="46">
        <f t="shared" si="1"/>
        <v>233</v>
      </c>
      <c r="W24" s="45">
        <v>24</v>
      </c>
      <c r="X24" s="45">
        <v>5</v>
      </c>
      <c r="Y24" s="45">
        <v>73</v>
      </c>
      <c r="Z24" s="45">
        <v>42</v>
      </c>
      <c r="AA24" s="45">
        <v>1</v>
      </c>
      <c r="AC24" s="44">
        <v>1597</v>
      </c>
      <c r="AD24" s="44" t="s">
        <v>515</v>
      </c>
      <c r="AE24" s="45">
        <v>42</v>
      </c>
      <c r="AF24" s="45">
        <v>46</v>
      </c>
      <c r="AG24" s="45">
        <v>8</v>
      </c>
      <c r="AH24" s="45">
        <v>61</v>
      </c>
      <c r="AI24" s="45">
        <v>22</v>
      </c>
      <c r="AJ24" s="48">
        <f t="shared" si="2"/>
        <v>179</v>
      </c>
      <c r="AK24" s="45">
        <v>57</v>
      </c>
      <c r="AL24" s="45">
        <v>39</v>
      </c>
      <c r="AM24" s="45">
        <v>62</v>
      </c>
      <c r="AN24" s="45">
        <v>37</v>
      </c>
      <c r="AO24" s="45">
        <v>35</v>
      </c>
      <c r="AQ24" s="44">
        <v>1023</v>
      </c>
      <c r="AR24" s="44" t="s">
        <v>515</v>
      </c>
      <c r="AS24" s="45">
        <v>45</v>
      </c>
      <c r="AT24" s="45">
        <v>9</v>
      </c>
      <c r="AU24" s="45">
        <v>30</v>
      </c>
      <c r="AV24" s="45">
        <v>65</v>
      </c>
      <c r="AW24" s="45">
        <v>15</v>
      </c>
      <c r="AX24" s="48">
        <f t="shared" si="3"/>
        <v>164</v>
      </c>
      <c r="AY24" s="45">
        <v>68</v>
      </c>
      <c r="AZ24" s="45">
        <v>42</v>
      </c>
      <c r="BA24" s="45">
        <v>39</v>
      </c>
      <c r="BB24" s="45">
        <v>12</v>
      </c>
      <c r="BC24" s="45">
        <v>79</v>
      </c>
      <c r="BE24" s="44">
        <v>919</v>
      </c>
      <c r="BF24" s="44" t="s">
        <v>518</v>
      </c>
      <c r="BG24" s="45">
        <v>18</v>
      </c>
      <c r="BH24" s="45">
        <v>85</v>
      </c>
      <c r="BI24" s="45">
        <v>56</v>
      </c>
      <c r="BJ24" s="45">
        <v>63</v>
      </c>
      <c r="BK24" s="45">
        <v>9</v>
      </c>
      <c r="BL24" s="46">
        <f t="shared" si="4"/>
        <v>231</v>
      </c>
      <c r="BM24" s="45">
        <v>2</v>
      </c>
      <c r="BN24" s="45">
        <v>44</v>
      </c>
      <c r="BO24" s="45">
        <v>72</v>
      </c>
      <c r="BP24" s="45">
        <v>54</v>
      </c>
      <c r="BQ24" s="45">
        <v>17</v>
      </c>
      <c r="BS24" s="44">
        <v>607</v>
      </c>
      <c r="BT24" s="44" t="s">
        <v>513</v>
      </c>
      <c r="BU24" s="45">
        <v>49</v>
      </c>
      <c r="BV24" s="45">
        <v>5</v>
      </c>
      <c r="BW24" s="45">
        <v>75</v>
      </c>
      <c r="BX24" s="45">
        <v>9</v>
      </c>
      <c r="BY24" s="45">
        <v>18</v>
      </c>
      <c r="BZ24" s="48">
        <f t="shared" si="5"/>
        <v>156</v>
      </c>
      <c r="CA24" s="45">
        <v>60</v>
      </c>
      <c r="CB24" s="45">
        <v>1</v>
      </c>
      <c r="CC24" s="45">
        <v>32</v>
      </c>
      <c r="CD24" s="45">
        <v>30</v>
      </c>
      <c r="CE24" s="45">
        <v>17</v>
      </c>
      <c r="CG24" s="44">
        <v>502</v>
      </c>
      <c r="CH24" s="44" t="s">
        <v>510</v>
      </c>
      <c r="CI24" s="45">
        <v>79</v>
      </c>
      <c r="CJ24" s="45">
        <v>31</v>
      </c>
      <c r="CK24" s="45">
        <v>84</v>
      </c>
      <c r="CL24" s="45">
        <v>36</v>
      </c>
      <c r="CM24" s="45">
        <v>87</v>
      </c>
      <c r="CN24" s="46">
        <f t="shared" si="6"/>
        <v>317</v>
      </c>
      <c r="CO24" s="45">
        <v>19</v>
      </c>
      <c r="CP24" s="45">
        <v>76</v>
      </c>
      <c r="CQ24" s="45">
        <v>16</v>
      </c>
      <c r="CR24" s="45">
        <v>73</v>
      </c>
      <c r="CS24" s="45">
        <v>80</v>
      </c>
    </row>
    <row r="25" spans="1:97" x14ac:dyDescent="0.2">
      <c r="A25" s="49">
        <v>2014</v>
      </c>
      <c r="B25" s="49" t="s">
        <v>526</v>
      </c>
      <c r="C25" s="50">
        <v>79</v>
      </c>
      <c r="D25" s="50">
        <v>43</v>
      </c>
      <c r="E25" s="50">
        <v>90</v>
      </c>
      <c r="F25" s="50">
        <v>41</v>
      </c>
      <c r="G25" s="50">
        <v>48</v>
      </c>
      <c r="H25" s="46">
        <f t="shared" si="0"/>
        <v>301</v>
      </c>
      <c r="I25" s="50">
        <v>25</v>
      </c>
      <c r="J25" s="50">
        <v>34</v>
      </c>
      <c r="K25" s="50">
        <v>36</v>
      </c>
      <c r="L25" s="50">
        <v>53</v>
      </c>
      <c r="M25" s="50">
        <v>30</v>
      </c>
      <c r="O25" s="49">
        <v>1807</v>
      </c>
      <c r="P25" s="49" t="s">
        <v>525</v>
      </c>
      <c r="Q25" s="50">
        <v>31</v>
      </c>
      <c r="R25" s="50">
        <v>78</v>
      </c>
      <c r="S25" s="50">
        <v>43</v>
      </c>
      <c r="T25" s="50">
        <v>81</v>
      </c>
      <c r="U25" s="50">
        <v>80</v>
      </c>
      <c r="V25" s="46">
        <f t="shared" si="1"/>
        <v>313</v>
      </c>
      <c r="W25" s="50">
        <v>75</v>
      </c>
      <c r="X25" s="50">
        <v>5</v>
      </c>
      <c r="Y25" s="50">
        <v>76</v>
      </c>
      <c r="Z25" s="50">
        <v>45</v>
      </c>
      <c r="AA25" s="50">
        <v>51</v>
      </c>
      <c r="AC25" s="49">
        <v>1598</v>
      </c>
      <c r="AD25" s="49" t="s">
        <v>522</v>
      </c>
      <c r="AE25" s="50">
        <v>45</v>
      </c>
      <c r="AF25" s="50">
        <v>34</v>
      </c>
      <c r="AG25" s="50">
        <v>81</v>
      </c>
      <c r="AH25" s="50">
        <v>73</v>
      </c>
      <c r="AI25" s="50">
        <v>46</v>
      </c>
      <c r="AJ25" s="46">
        <f t="shared" si="2"/>
        <v>279</v>
      </c>
      <c r="AK25" s="50">
        <v>77</v>
      </c>
      <c r="AL25" s="50">
        <v>78</v>
      </c>
      <c r="AM25" s="50">
        <v>72</v>
      </c>
      <c r="AN25" s="50">
        <v>16</v>
      </c>
      <c r="AO25" s="50">
        <v>54</v>
      </c>
      <c r="AQ25" s="49">
        <v>1024</v>
      </c>
      <c r="AR25" s="49" t="s">
        <v>522</v>
      </c>
      <c r="AS25" s="50">
        <v>6</v>
      </c>
      <c r="AT25" s="50">
        <v>87</v>
      </c>
      <c r="AU25" s="47">
        <v>57</v>
      </c>
      <c r="AV25" s="50">
        <v>83</v>
      </c>
      <c r="AW25" s="50">
        <v>3</v>
      </c>
      <c r="AX25" s="46">
        <f t="shared" si="3"/>
        <v>236</v>
      </c>
      <c r="AY25" s="47">
        <v>42</v>
      </c>
      <c r="AZ25" s="47">
        <v>24</v>
      </c>
      <c r="BA25" s="50">
        <v>71</v>
      </c>
      <c r="BB25" s="50">
        <v>54</v>
      </c>
      <c r="BC25" s="50">
        <v>44</v>
      </c>
      <c r="BE25" s="49">
        <v>920</v>
      </c>
      <c r="BF25" s="49" t="s">
        <v>525</v>
      </c>
      <c r="BG25" s="50">
        <v>63</v>
      </c>
      <c r="BH25" s="50">
        <v>55</v>
      </c>
      <c r="BI25" s="50">
        <v>56</v>
      </c>
      <c r="BJ25" s="50">
        <v>5</v>
      </c>
      <c r="BK25" s="50">
        <v>72</v>
      </c>
      <c r="BL25" s="46">
        <f t="shared" si="4"/>
        <v>251</v>
      </c>
      <c r="BM25" s="50">
        <v>70</v>
      </c>
      <c r="BN25" s="50">
        <v>79</v>
      </c>
      <c r="BO25" s="50">
        <v>22</v>
      </c>
      <c r="BP25" s="50">
        <v>76</v>
      </c>
      <c r="BQ25" s="50">
        <v>8</v>
      </c>
      <c r="BS25" s="49">
        <v>608</v>
      </c>
      <c r="BT25" s="49" t="s">
        <v>520</v>
      </c>
      <c r="BU25" s="50">
        <v>35</v>
      </c>
      <c r="BV25" s="50">
        <v>27</v>
      </c>
      <c r="BW25" s="50">
        <v>9</v>
      </c>
      <c r="BX25" s="50">
        <v>48</v>
      </c>
      <c r="BY25" s="50">
        <v>21</v>
      </c>
      <c r="BZ25" s="51">
        <f t="shared" si="5"/>
        <v>140</v>
      </c>
      <c r="CA25" s="50">
        <v>50</v>
      </c>
      <c r="CB25" s="50">
        <v>54</v>
      </c>
      <c r="CC25" s="50">
        <v>73</v>
      </c>
      <c r="CD25" s="50">
        <v>26</v>
      </c>
      <c r="CE25" s="50">
        <v>72</v>
      </c>
      <c r="CG25" s="49">
        <v>503</v>
      </c>
      <c r="CH25" s="49" t="s">
        <v>517</v>
      </c>
      <c r="CI25" s="50">
        <v>75</v>
      </c>
      <c r="CJ25" s="50">
        <v>87</v>
      </c>
      <c r="CK25" s="50">
        <v>20</v>
      </c>
      <c r="CL25" s="50">
        <v>90</v>
      </c>
      <c r="CM25" s="50">
        <v>43</v>
      </c>
      <c r="CN25" s="46">
        <f t="shared" si="6"/>
        <v>315</v>
      </c>
      <c r="CO25" s="50">
        <v>1</v>
      </c>
      <c r="CP25" s="50">
        <v>53</v>
      </c>
      <c r="CQ25" s="50">
        <v>24</v>
      </c>
      <c r="CR25" s="50">
        <v>39</v>
      </c>
      <c r="CS25" s="50">
        <v>69</v>
      </c>
    </row>
    <row r="26" spans="1:97" x14ac:dyDescent="0.2">
      <c r="A26" s="44">
        <v>2015</v>
      </c>
      <c r="B26" s="44" t="s">
        <v>533</v>
      </c>
      <c r="C26" s="45">
        <v>15</v>
      </c>
      <c r="D26" s="45">
        <v>21</v>
      </c>
      <c r="E26" s="45">
        <v>55</v>
      </c>
      <c r="F26" s="45">
        <v>10</v>
      </c>
      <c r="G26" s="45">
        <v>43</v>
      </c>
      <c r="H26" s="48">
        <f t="shared" si="0"/>
        <v>144</v>
      </c>
      <c r="I26" s="45">
        <v>8</v>
      </c>
      <c r="J26" s="45">
        <v>36</v>
      </c>
      <c r="K26" s="45">
        <v>14</v>
      </c>
      <c r="L26" s="45">
        <v>89</v>
      </c>
      <c r="M26" s="45">
        <v>52</v>
      </c>
      <c r="O26" s="44">
        <v>1808</v>
      </c>
      <c r="P26" s="44" t="s">
        <v>532</v>
      </c>
      <c r="Q26" s="45">
        <v>10</v>
      </c>
      <c r="R26" s="45">
        <v>17</v>
      </c>
      <c r="S26" s="45">
        <v>81</v>
      </c>
      <c r="T26" s="45">
        <v>45</v>
      </c>
      <c r="U26" s="45">
        <v>27</v>
      </c>
      <c r="V26" s="48">
        <f t="shared" si="1"/>
        <v>180</v>
      </c>
      <c r="W26" s="45">
        <v>62</v>
      </c>
      <c r="X26" s="45">
        <v>57</v>
      </c>
      <c r="Y26" s="45">
        <v>52</v>
      </c>
      <c r="Z26" s="45">
        <v>8</v>
      </c>
      <c r="AA26" s="45">
        <v>68</v>
      </c>
      <c r="AC26" s="44">
        <v>1599</v>
      </c>
      <c r="AD26" s="44" t="s">
        <v>529</v>
      </c>
      <c r="AE26" s="45">
        <v>19</v>
      </c>
      <c r="AF26" s="45">
        <v>79</v>
      </c>
      <c r="AG26" s="45">
        <v>85</v>
      </c>
      <c r="AH26" s="45">
        <v>36</v>
      </c>
      <c r="AI26" s="45">
        <v>42</v>
      </c>
      <c r="AJ26" s="46">
        <f t="shared" si="2"/>
        <v>261</v>
      </c>
      <c r="AK26" s="45">
        <v>53</v>
      </c>
      <c r="AL26" s="45">
        <v>78</v>
      </c>
      <c r="AM26" s="45">
        <v>8</v>
      </c>
      <c r="AN26" s="45">
        <v>89</v>
      </c>
      <c r="AO26" s="45">
        <v>17</v>
      </c>
      <c r="AQ26" s="44">
        <v>1025</v>
      </c>
      <c r="AR26" s="44" t="s">
        <v>529</v>
      </c>
      <c r="AS26" s="45">
        <v>2</v>
      </c>
      <c r="AT26" s="45">
        <v>88</v>
      </c>
      <c r="AU26" s="45">
        <v>51</v>
      </c>
      <c r="AV26" s="45">
        <v>69</v>
      </c>
      <c r="AW26" s="45">
        <v>70</v>
      </c>
      <c r="AX26" s="46">
        <f t="shared" si="3"/>
        <v>280</v>
      </c>
      <c r="AY26" s="45">
        <v>15</v>
      </c>
      <c r="AZ26" s="45">
        <v>31</v>
      </c>
      <c r="BA26" s="45">
        <v>58</v>
      </c>
      <c r="BB26" s="45">
        <v>32</v>
      </c>
      <c r="BC26" s="45">
        <v>81</v>
      </c>
      <c r="BE26" s="44">
        <v>921</v>
      </c>
      <c r="BF26" s="44" t="s">
        <v>532</v>
      </c>
      <c r="BG26" s="45">
        <v>43</v>
      </c>
      <c r="BH26" s="45">
        <v>55</v>
      </c>
      <c r="BI26" s="45">
        <v>23</v>
      </c>
      <c r="BJ26" s="45">
        <v>60</v>
      </c>
      <c r="BK26" s="45">
        <v>56</v>
      </c>
      <c r="BL26" s="46">
        <f t="shared" si="4"/>
        <v>237</v>
      </c>
      <c r="BM26" s="45">
        <v>28</v>
      </c>
      <c r="BN26" s="45">
        <v>88</v>
      </c>
      <c r="BO26" s="45">
        <v>72</v>
      </c>
      <c r="BP26" s="45">
        <v>2</v>
      </c>
      <c r="BQ26" s="45">
        <v>22</v>
      </c>
      <c r="BS26" s="44">
        <v>609</v>
      </c>
      <c r="BT26" s="44" t="s">
        <v>527</v>
      </c>
      <c r="BU26" s="45">
        <v>22</v>
      </c>
      <c r="BV26" s="45">
        <v>67</v>
      </c>
      <c r="BW26" s="45">
        <v>74</v>
      </c>
      <c r="BX26" s="45">
        <v>11</v>
      </c>
      <c r="BY26" s="45">
        <v>50</v>
      </c>
      <c r="BZ26" s="46">
        <f t="shared" si="5"/>
        <v>224</v>
      </c>
      <c r="CA26" s="45">
        <v>77</v>
      </c>
      <c r="CB26" s="45">
        <v>41</v>
      </c>
      <c r="CC26" s="45">
        <v>9</v>
      </c>
      <c r="CD26" s="45">
        <v>55</v>
      </c>
      <c r="CE26" s="45">
        <v>17</v>
      </c>
      <c r="CG26" s="44">
        <v>504</v>
      </c>
      <c r="CH26" s="44" t="s">
        <v>524</v>
      </c>
      <c r="CI26" s="45">
        <v>90</v>
      </c>
      <c r="CJ26" s="45">
        <v>71</v>
      </c>
      <c r="CK26" s="45">
        <v>66</v>
      </c>
      <c r="CL26" s="45">
        <v>10</v>
      </c>
      <c r="CM26" s="45">
        <v>62</v>
      </c>
      <c r="CN26" s="46">
        <f t="shared" si="6"/>
        <v>299</v>
      </c>
      <c r="CO26" s="45">
        <v>72</v>
      </c>
      <c r="CP26" s="45">
        <v>55</v>
      </c>
      <c r="CQ26" s="45">
        <v>78</v>
      </c>
      <c r="CR26" s="45">
        <v>68</v>
      </c>
      <c r="CS26" s="45">
        <v>65</v>
      </c>
    </row>
    <row r="27" spans="1:97" x14ac:dyDescent="0.2">
      <c r="A27" s="49">
        <v>2016</v>
      </c>
      <c r="B27" s="49" t="s">
        <v>540</v>
      </c>
      <c r="C27" s="50">
        <v>57</v>
      </c>
      <c r="D27" s="50">
        <v>66</v>
      </c>
      <c r="E27" s="50">
        <v>59</v>
      </c>
      <c r="F27" s="50">
        <v>77</v>
      </c>
      <c r="G27" s="50">
        <v>29</v>
      </c>
      <c r="H27" s="46">
        <f t="shared" si="0"/>
        <v>288</v>
      </c>
      <c r="I27" s="50">
        <v>69</v>
      </c>
      <c r="J27" s="50">
        <v>55</v>
      </c>
      <c r="K27" s="50">
        <v>86</v>
      </c>
      <c r="L27" s="50">
        <v>35</v>
      </c>
      <c r="M27" s="50">
        <v>39</v>
      </c>
      <c r="O27" s="49">
        <v>1809</v>
      </c>
      <c r="P27" s="49" t="s">
        <v>539</v>
      </c>
      <c r="Q27" s="50">
        <v>58</v>
      </c>
      <c r="R27" s="50">
        <v>50</v>
      </c>
      <c r="S27" s="50">
        <v>35</v>
      </c>
      <c r="T27" s="50">
        <v>83</v>
      </c>
      <c r="U27" s="50">
        <v>86</v>
      </c>
      <c r="V27" s="46">
        <f t="shared" si="1"/>
        <v>312</v>
      </c>
      <c r="W27" s="50">
        <v>31</v>
      </c>
      <c r="X27" s="50">
        <v>49</v>
      </c>
      <c r="Y27" s="50">
        <v>85</v>
      </c>
      <c r="Z27" s="50">
        <v>20</v>
      </c>
      <c r="AA27" s="50">
        <v>37</v>
      </c>
      <c r="AC27" s="49">
        <v>1600</v>
      </c>
      <c r="AD27" s="49" t="s">
        <v>536</v>
      </c>
      <c r="AE27" s="50">
        <v>54</v>
      </c>
      <c r="AF27" s="50">
        <v>64</v>
      </c>
      <c r="AG27" s="50">
        <v>69</v>
      </c>
      <c r="AH27" s="50">
        <v>75</v>
      </c>
      <c r="AI27" s="50">
        <v>6</v>
      </c>
      <c r="AJ27" s="46">
        <f t="shared" si="2"/>
        <v>268</v>
      </c>
      <c r="AK27" s="50">
        <v>1</v>
      </c>
      <c r="AL27" s="50">
        <v>5</v>
      </c>
      <c r="AM27" s="50">
        <v>43</v>
      </c>
      <c r="AN27" s="50">
        <v>57</v>
      </c>
      <c r="AO27" s="50">
        <v>58</v>
      </c>
      <c r="AQ27" s="49">
        <v>1026</v>
      </c>
      <c r="AR27" s="49" t="s">
        <v>536</v>
      </c>
      <c r="AS27" s="50">
        <v>30</v>
      </c>
      <c r="AT27" s="50">
        <v>37</v>
      </c>
      <c r="AU27" s="50">
        <v>42</v>
      </c>
      <c r="AV27" s="50">
        <v>7</v>
      </c>
      <c r="AW27" s="50">
        <v>90</v>
      </c>
      <c r="AX27" s="46">
        <f t="shared" si="3"/>
        <v>206</v>
      </c>
      <c r="AY27" s="50">
        <v>11</v>
      </c>
      <c r="AZ27" s="50">
        <v>67</v>
      </c>
      <c r="BA27" s="50">
        <v>32</v>
      </c>
      <c r="BB27" s="50">
        <v>24</v>
      </c>
      <c r="BC27" s="50">
        <v>33</v>
      </c>
      <c r="BE27" s="49">
        <v>922</v>
      </c>
      <c r="BF27" s="49" t="s">
        <v>539</v>
      </c>
      <c r="BG27" s="50">
        <v>89</v>
      </c>
      <c r="BH27" s="50">
        <v>70</v>
      </c>
      <c r="BI27" s="50">
        <v>28</v>
      </c>
      <c r="BJ27" s="50">
        <v>54</v>
      </c>
      <c r="BK27" s="50">
        <v>35</v>
      </c>
      <c r="BL27" s="46">
        <f t="shared" si="4"/>
        <v>276</v>
      </c>
      <c r="BM27" s="50">
        <v>78</v>
      </c>
      <c r="BN27" s="50">
        <v>85</v>
      </c>
      <c r="BO27" s="50">
        <v>55</v>
      </c>
      <c r="BP27" s="50">
        <v>88</v>
      </c>
      <c r="BQ27" s="50">
        <v>81</v>
      </c>
      <c r="BS27" s="49">
        <v>610</v>
      </c>
      <c r="BT27" s="49" t="s">
        <v>534</v>
      </c>
      <c r="BU27" s="50">
        <v>15</v>
      </c>
      <c r="BV27" s="50">
        <v>78</v>
      </c>
      <c r="BW27" s="50">
        <v>18</v>
      </c>
      <c r="BX27" s="50">
        <v>5</v>
      </c>
      <c r="BY27" s="50">
        <v>24</v>
      </c>
      <c r="BZ27" s="51">
        <f t="shared" si="5"/>
        <v>140</v>
      </c>
      <c r="CA27" s="50">
        <v>85</v>
      </c>
      <c r="CB27" s="50">
        <v>88</v>
      </c>
      <c r="CC27" s="50">
        <v>40</v>
      </c>
      <c r="CD27" s="50">
        <v>7</v>
      </c>
      <c r="CE27" s="50">
        <v>86</v>
      </c>
      <c r="CG27" s="49">
        <v>505</v>
      </c>
      <c r="CH27" s="49" t="s">
        <v>531</v>
      </c>
      <c r="CI27" s="50">
        <v>74</v>
      </c>
      <c r="CJ27" s="50">
        <v>86</v>
      </c>
      <c r="CK27" s="50">
        <v>46</v>
      </c>
      <c r="CL27" s="50">
        <v>79</v>
      </c>
      <c r="CM27" s="50">
        <v>18</v>
      </c>
      <c r="CN27" s="46">
        <f t="shared" si="6"/>
        <v>303</v>
      </c>
      <c r="CO27" s="50">
        <v>53</v>
      </c>
      <c r="CP27" s="50">
        <v>75</v>
      </c>
      <c r="CQ27" s="50">
        <v>8</v>
      </c>
      <c r="CR27" s="50">
        <v>13</v>
      </c>
      <c r="CS27" s="50">
        <v>15</v>
      </c>
    </row>
    <row r="28" spans="1:97" x14ac:dyDescent="0.2">
      <c r="A28" s="44">
        <v>2017</v>
      </c>
      <c r="B28" s="44" t="s">
        <v>547</v>
      </c>
      <c r="C28" s="45">
        <v>50</v>
      </c>
      <c r="D28" s="45">
        <v>61</v>
      </c>
      <c r="E28" s="45">
        <v>68</v>
      </c>
      <c r="F28" s="45">
        <v>11</v>
      </c>
      <c r="G28" s="45">
        <v>29</v>
      </c>
      <c r="H28" s="46">
        <f t="shared" si="0"/>
        <v>219</v>
      </c>
      <c r="I28" s="45">
        <v>67</v>
      </c>
      <c r="J28" s="45">
        <v>62</v>
      </c>
      <c r="K28" s="45">
        <v>12</v>
      </c>
      <c r="L28" s="45">
        <v>13</v>
      </c>
      <c r="M28" s="45">
        <v>38</v>
      </c>
      <c r="O28" s="44">
        <v>1810</v>
      </c>
      <c r="P28" s="44" t="s">
        <v>546</v>
      </c>
      <c r="Q28" s="45">
        <v>33</v>
      </c>
      <c r="R28" s="45">
        <v>65</v>
      </c>
      <c r="S28" s="45">
        <v>39</v>
      </c>
      <c r="T28" s="45">
        <v>69</v>
      </c>
      <c r="U28" s="45">
        <v>9</v>
      </c>
      <c r="V28" s="46">
        <f t="shared" si="1"/>
        <v>215</v>
      </c>
      <c r="W28" s="45">
        <v>68</v>
      </c>
      <c r="X28" s="45">
        <v>11</v>
      </c>
      <c r="Y28" s="45">
        <v>57</v>
      </c>
      <c r="Z28" s="45">
        <v>18</v>
      </c>
      <c r="AA28" s="45">
        <v>35</v>
      </c>
      <c r="AC28" s="44">
        <v>1601</v>
      </c>
      <c r="AD28" s="44" t="s">
        <v>543</v>
      </c>
      <c r="AE28" s="45">
        <v>74</v>
      </c>
      <c r="AF28" s="45">
        <v>90</v>
      </c>
      <c r="AG28" s="45">
        <v>49</v>
      </c>
      <c r="AH28" s="45">
        <v>70</v>
      </c>
      <c r="AI28" s="45">
        <v>36</v>
      </c>
      <c r="AJ28" s="46">
        <f t="shared" si="2"/>
        <v>319</v>
      </c>
      <c r="AK28" s="45">
        <v>71</v>
      </c>
      <c r="AL28" s="45">
        <v>59</v>
      </c>
      <c r="AM28" s="45">
        <v>4</v>
      </c>
      <c r="AN28" s="45">
        <v>57</v>
      </c>
      <c r="AO28" s="45">
        <v>80</v>
      </c>
      <c r="AQ28" s="44">
        <v>1027</v>
      </c>
      <c r="AR28" s="44" t="s">
        <v>543</v>
      </c>
      <c r="AS28" s="45">
        <v>77</v>
      </c>
      <c r="AT28" s="45">
        <v>75</v>
      </c>
      <c r="AU28" s="45">
        <v>39</v>
      </c>
      <c r="AV28" s="45">
        <v>13</v>
      </c>
      <c r="AW28" s="45">
        <v>71</v>
      </c>
      <c r="AX28" s="46">
        <f t="shared" si="3"/>
        <v>275</v>
      </c>
      <c r="AY28" s="45">
        <v>62</v>
      </c>
      <c r="AZ28" s="45">
        <v>68</v>
      </c>
      <c r="BA28" s="45">
        <v>45</v>
      </c>
      <c r="BB28" s="45">
        <v>37</v>
      </c>
      <c r="BC28" s="45">
        <v>32</v>
      </c>
      <c r="BE28" s="44">
        <v>923</v>
      </c>
      <c r="BF28" s="44" t="s">
        <v>546</v>
      </c>
      <c r="BG28" s="45">
        <v>79</v>
      </c>
      <c r="BH28" s="45">
        <v>49</v>
      </c>
      <c r="BI28" s="45">
        <v>57</v>
      </c>
      <c r="BJ28" s="45">
        <v>83</v>
      </c>
      <c r="BK28" s="45">
        <v>17</v>
      </c>
      <c r="BL28" s="46">
        <f t="shared" si="4"/>
        <v>285</v>
      </c>
      <c r="BM28" s="45">
        <v>81</v>
      </c>
      <c r="BN28" s="45">
        <v>38</v>
      </c>
      <c r="BO28" s="45">
        <v>72</v>
      </c>
      <c r="BP28" s="45">
        <v>56</v>
      </c>
      <c r="BQ28" s="45">
        <v>74</v>
      </c>
      <c r="BS28" s="44">
        <v>611</v>
      </c>
      <c r="BT28" s="44" t="s">
        <v>541</v>
      </c>
      <c r="BU28" s="45">
        <v>3</v>
      </c>
      <c r="BV28" s="45">
        <v>37</v>
      </c>
      <c r="BW28" s="45">
        <v>66</v>
      </c>
      <c r="BX28" s="45">
        <v>29</v>
      </c>
      <c r="BY28" s="45">
        <v>14</v>
      </c>
      <c r="BZ28" s="48">
        <f t="shared" si="5"/>
        <v>149</v>
      </c>
      <c r="CA28" s="45">
        <v>72</v>
      </c>
      <c r="CB28" s="45">
        <v>35</v>
      </c>
      <c r="CC28" s="45">
        <v>48</v>
      </c>
      <c r="CD28" s="45">
        <v>47</v>
      </c>
      <c r="CE28" s="45">
        <v>76</v>
      </c>
      <c r="CG28" s="44">
        <v>506</v>
      </c>
      <c r="CH28" s="44" t="s">
        <v>538</v>
      </c>
      <c r="CI28" s="45">
        <v>6</v>
      </c>
      <c r="CJ28" s="45">
        <v>72</v>
      </c>
      <c r="CK28" s="45">
        <v>12</v>
      </c>
      <c r="CL28" s="45">
        <v>62</v>
      </c>
      <c r="CM28" s="45">
        <v>61</v>
      </c>
      <c r="CN28" s="46">
        <f t="shared" si="6"/>
        <v>213</v>
      </c>
      <c r="CO28" s="45">
        <v>27</v>
      </c>
      <c r="CP28" s="45">
        <v>65</v>
      </c>
      <c r="CQ28" s="45">
        <v>29</v>
      </c>
      <c r="CR28" s="45">
        <v>20</v>
      </c>
      <c r="CS28" s="45">
        <v>15</v>
      </c>
    </row>
    <row r="29" spans="1:97" x14ac:dyDescent="0.2">
      <c r="A29" s="49">
        <v>2018</v>
      </c>
      <c r="B29" s="49" t="s">
        <v>554</v>
      </c>
      <c r="C29" s="50">
        <v>27</v>
      </c>
      <c r="D29" s="50">
        <v>1</v>
      </c>
      <c r="E29" s="50">
        <v>68</v>
      </c>
      <c r="F29" s="50">
        <v>59</v>
      </c>
      <c r="G29" s="50">
        <v>9</v>
      </c>
      <c r="H29" s="51">
        <f t="shared" si="0"/>
        <v>164</v>
      </c>
      <c r="I29" s="50">
        <v>69</v>
      </c>
      <c r="J29" s="50">
        <v>56</v>
      </c>
      <c r="K29" s="50">
        <v>25</v>
      </c>
      <c r="L29" s="50">
        <v>34</v>
      </c>
      <c r="M29" s="50">
        <v>80</v>
      </c>
      <c r="O29" s="49">
        <v>1811</v>
      </c>
      <c r="P29" s="49" t="s">
        <v>553</v>
      </c>
      <c r="Q29" s="50">
        <v>48</v>
      </c>
      <c r="R29" s="50">
        <v>67</v>
      </c>
      <c r="S29" s="50">
        <v>33</v>
      </c>
      <c r="T29" s="50">
        <v>52</v>
      </c>
      <c r="U29" s="50">
        <v>66</v>
      </c>
      <c r="V29" s="46">
        <f t="shared" si="1"/>
        <v>266</v>
      </c>
      <c r="W29" s="50">
        <v>35</v>
      </c>
      <c r="X29" s="50">
        <v>59</v>
      </c>
      <c r="Y29" s="50">
        <v>15</v>
      </c>
      <c r="Z29" s="50">
        <v>25</v>
      </c>
      <c r="AA29" s="50">
        <v>37</v>
      </c>
      <c r="AC29" s="49">
        <v>1602</v>
      </c>
      <c r="AD29" s="49" t="s">
        <v>550</v>
      </c>
      <c r="AE29" s="50">
        <v>65</v>
      </c>
      <c r="AF29" s="50">
        <v>45</v>
      </c>
      <c r="AG29" s="50">
        <v>12</v>
      </c>
      <c r="AH29" s="50">
        <v>71</v>
      </c>
      <c r="AI29" s="50">
        <v>61</v>
      </c>
      <c r="AJ29" s="46">
        <f t="shared" si="2"/>
        <v>254</v>
      </c>
      <c r="AK29" s="50">
        <v>34</v>
      </c>
      <c r="AL29" s="50">
        <v>62</v>
      </c>
      <c r="AM29" s="50">
        <v>68</v>
      </c>
      <c r="AN29" s="50">
        <v>15</v>
      </c>
      <c r="AO29" s="50">
        <v>26</v>
      </c>
      <c r="AQ29" s="49">
        <v>1028</v>
      </c>
      <c r="AR29" s="49" t="s">
        <v>550</v>
      </c>
      <c r="AS29" s="50">
        <v>83</v>
      </c>
      <c r="AT29" s="50">
        <v>86</v>
      </c>
      <c r="AU29" s="50">
        <v>62</v>
      </c>
      <c r="AV29" s="50">
        <v>68</v>
      </c>
      <c r="AW29" s="50">
        <v>35</v>
      </c>
      <c r="AX29" s="46">
        <f t="shared" si="3"/>
        <v>334</v>
      </c>
      <c r="AY29" s="50">
        <v>44</v>
      </c>
      <c r="AZ29" s="50">
        <v>79</v>
      </c>
      <c r="BA29" s="50">
        <v>26</v>
      </c>
      <c r="BB29" s="50">
        <v>57</v>
      </c>
      <c r="BC29" s="50">
        <v>39</v>
      </c>
      <c r="BE29" s="49">
        <v>924</v>
      </c>
      <c r="BF29" s="49" t="s">
        <v>553</v>
      </c>
      <c r="BG29" s="50">
        <v>73</v>
      </c>
      <c r="BH29" s="50">
        <v>28</v>
      </c>
      <c r="BI29" s="50">
        <v>38</v>
      </c>
      <c r="BJ29" s="50">
        <v>25</v>
      </c>
      <c r="BK29" s="50">
        <v>4</v>
      </c>
      <c r="BL29" s="51">
        <f t="shared" si="4"/>
        <v>168</v>
      </c>
      <c r="BM29" s="50">
        <v>46</v>
      </c>
      <c r="BN29" s="50">
        <v>84</v>
      </c>
      <c r="BO29" s="50">
        <v>22</v>
      </c>
      <c r="BP29" s="50">
        <v>81</v>
      </c>
      <c r="BQ29" s="50">
        <v>48</v>
      </c>
      <c r="BS29" s="49">
        <v>612</v>
      </c>
      <c r="BT29" s="49" t="s">
        <v>548</v>
      </c>
      <c r="BU29" s="50">
        <v>81</v>
      </c>
      <c r="BV29" s="50">
        <v>25</v>
      </c>
      <c r="BW29" s="50">
        <v>69</v>
      </c>
      <c r="BX29" s="50">
        <v>77</v>
      </c>
      <c r="BY29" s="50">
        <v>17</v>
      </c>
      <c r="BZ29" s="46">
        <f t="shared" si="5"/>
        <v>269</v>
      </c>
      <c r="CA29" s="50">
        <v>34</v>
      </c>
      <c r="CB29" s="50">
        <v>51</v>
      </c>
      <c r="CC29" s="50">
        <v>1</v>
      </c>
      <c r="CD29" s="50">
        <v>85</v>
      </c>
      <c r="CE29" s="50">
        <v>33</v>
      </c>
      <c r="CG29" s="49">
        <v>507</v>
      </c>
      <c r="CH29" s="49" t="s">
        <v>545</v>
      </c>
      <c r="CI29" s="50">
        <v>79</v>
      </c>
      <c r="CJ29" s="50">
        <v>66</v>
      </c>
      <c r="CK29" s="50">
        <v>30</v>
      </c>
      <c r="CL29" s="50">
        <v>6</v>
      </c>
      <c r="CM29" s="50">
        <v>84</v>
      </c>
      <c r="CN29" s="46">
        <f t="shared" si="6"/>
        <v>265</v>
      </c>
      <c r="CO29" s="50">
        <v>58</v>
      </c>
      <c r="CP29" s="50">
        <v>45</v>
      </c>
      <c r="CQ29" s="50">
        <v>89</v>
      </c>
      <c r="CR29" s="50">
        <v>41</v>
      </c>
      <c r="CS29" s="50">
        <v>54</v>
      </c>
    </row>
    <row r="30" spans="1:97" x14ac:dyDescent="0.2">
      <c r="A30" s="44">
        <v>2019</v>
      </c>
      <c r="B30" s="44" t="s">
        <v>561</v>
      </c>
      <c r="C30" s="45">
        <v>12</v>
      </c>
      <c r="D30" s="45">
        <v>26</v>
      </c>
      <c r="E30" s="45">
        <v>77</v>
      </c>
      <c r="F30" s="45">
        <v>60</v>
      </c>
      <c r="G30" s="45">
        <v>52</v>
      </c>
      <c r="H30" s="46">
        <f t="shared" si="0"/>
        <v>227</v>
      </c>
      <c r="I30" s="45">
        <v>67</v>
      </c>
      <c r="J30" s="45">
        <v>47</v>
      </c>
      <c r="K30" s="45">
        <v>70</v>
      </c>
      <c r="L30" s="45">
        <v>89</v>
      </c>
      <c r="M30" s="45">
        <v>44</v>
      </c>
      <c r="O30" s="44">
        <v>1812</v>
      </c>
      <c r="P30" s="44" t="s">
        <v>560</v>
      </c>
      <c r="Q30" s="45">
        <v>44</v>
      </c>
      <c r="R30" s="45">
        <v>4</v>
      </c>
      <c r="S30" s="45">
        <v>1</v>
      </c>
      <c r="T30" s="45">
        <v>21</v>
      </c>
      <c r="U30" s="45">
        <v>56</v>
      </c>
      <c r="V30" s="48">
        <f t="shared" si="1"/>
        <v>126</v>
      </c>
      <c r="W30" s="45">
        <v>57</v>
      </c>
      <c r="X30" s="45">
        <v>58</v>
      </c>
      <c r="Y30" s="45">
        <v>47</v>
      </c>
      <c r="Z30" s="45">
        <v>52</v>
      </c>
      <c r="AA30" s="45">
        <v>7</v>
      </c>
      <c r="AC30" s="44">
        <v>1603</v>
      </c>
      <c r="AD30" s="44" t="s">
        <v>557</v>
      </c>
      <c r="AE30" s="45">
        <v>76</v>
      </c>
      <c r="AF30" s="45">
        <v>33</v>
      </c>
      <c r="AG30" s="45">
        <v>26</v>
      </c>
      <c r="AH30" s="45">
        <v>24</v>
      </c>
      <c r="AI30" s="45">
        <v>61</v>
      </c>
      <c r="AJ30" s="46">
        <f t="shared" si="2"/>
        <v>220</v>
      </c>
      <c r="AK30" s="45">
        <v>1</v>
      </c>
      <c r="AL30" s="45">
        <v>84</v>
      </c>
      <c r="AM30" s="45">
        <v>15</v>
      </c>
      <c r="AN30" s="45">
        <v>16</v>
      </c>
      <c r="AO30" s="45">
        <v>81</v>
      </c>
      <c r="AQ30" s="44">
        <v>1029</v>
      </c>
      <c r="AR30" s="44" t="s">
        <v>557</v>
      </c>
      <c r="AS30" s="45">
        <v>24</v>
      </c>
      <c r="AT30" s="45">
        <v>87</v>
      </c>
      <c r="AU30" s="45">
        <v>62</v>
      </c>
      <c r="AV30" s="45">
        <v>18</v>
      </c>
      <c r="AW30" s="45">
        <v>21</v>
      </c>
      <c r="AX30" s="46">
        <f t="shared" si="3"/>
        <v>212</v>
      </c>
      <c r="AY30" s="45">
        <v>46</v>
      </c>
      <c r="AZ30" s="45">
        <v>78</v>
      </c>
      <c r="BA30" s="45">
        <v>61</v>
      </c>
      <c r="BB30" s="45">
        <v>74</v>
      </c>
      <c r="BC30" s="45">
        <v>39</v>
      </c>
      <c r="BE30" s="44">
        <v>925</v>
      </c>
      <c r="BF30" s="44" t="s">
        <v>560</v>
      </c>
      <c r="BG30" s="45">
        <v>40</v>
      </c>
      <c r="BH30" s="45">
        <v>61</v>
      </c>
      <c r="BI30" s="45">
        <v>89</v>
      </c>
      <c r="BJ30" s="45">
        <v>76</v>
      </c>
      <c r="BK30" s="45">
        <v>24</v>
      </c>
      <c r="BL30" s="46">
        <f t="shared" si="4"/>
        <v>290</v>
      </c>
      <c r="BM30" s="45">
        <v>41</v>
      </c>
      <c r="BN30" s="45">
        <v>86</v>
      </c>
      <c r="BO30" s="45">
        <v>58</v>
      </c>
      <c r="BP30" s="45">
        <v>42</v>
      </c>
      <c r="BQ30" s="45">
        <v>79</v>
      </c>
      <c r="BS30" s="44">
        <v>613</v>
      </c>
      <c r="BT30" s="44" t="s">
        <v>555</v>
      </c>
      <c r="BU30" s="45">
        <v>57</v>
      </c>
      <c r="BV30" s="45">
        <v>71</v>
      </c>
      <c r="BW30" s="45">
        <v>72</v>
      </c>
      <c r="BX30" s="45">
        <v>1</v>
      </c>
      <c r="BY30" s="45">
        <v>61</v>
      </c>
      <c r="BZ30" s="46">
        <f t="shared" si="5"/>
        <v>262</v>
      </c>
      <c r="CA30" s="45">
        <v>68</v>
      </c>
      <c r="CB30" s="45">
        <v>56</v>
      </c>
      <c r="CC30" s="45">
        <v>79</v>
      </c>
      <c r="CD30" s="45">
        <v>6</v>
      </c>
      <c r="CE30" s="45">
        <v>55</v>
      </c>
      <c r="CG30" s="44">
        <v>508</v>
      </c>
      <c r="CH30" s="44" t="s">
        <v>552</v>
      </c>
      <c r="CI30" s="45">
        <v>22</v>
      </c>
      <c r="CJ30" s="45">
        <v>73</v>
      </c>
      <c r="CK30" s="45">
        <v>4</v>
      </c>
      <c r="CL30" s="45">
        <v>64</v>
      </c>
      <c r="CM30" s="45">
        <v>41</v>
      </c>
      <c r="CN30" s="46">
        <f t="shared" si="6"/>
        <v>204</v>
      </c>
      <c r="CO30" s="45">
        <v>19</v>
      </c>
      <c r="CP30" s="45">
        <v>56</v>
      </c>
      <c r="CQ30" s="45">
        <v>18</v>
      </c>
      <c r="CR30" s="45">
        <v>59</v>
      </c>
      <c r="CS30" s="45">
        <v>37</v>
      </c>
    </row>
    <row r="31" spans="1:97" x14ac:dyDescent="0.2">
      <c r="A31" s="49">
        <v>2020</v>
      </c>
      <c r="B31" s="49" t="s">
        <v>568</v>
      </c>
      <c r="C31" s="50">
        <v>35</v>
      </c>
      <c r="D31" s="50">
        <v>32</v>
      </c>
      <c r="E31" s="50">
        <v>15</v>
      </c>
      <c r="F31" s="50">
        <v>37</v>
      </c>
      <c r="G31" s="50">
        <v>72</v>
      </c>
      <c r="H31" s="46">
        <f t="shared" si="0"/>
        <v>191</v>
      </c>
      <c r="I31" s="50">
        <v>64</v>
      </c>
      <c r="J31" s="50">
        <v>39</v>
      </c>
      <c r="K31" s="50">
        <v>6</v>
      </c>
      <c r="L31" s="50">
        <v>59</v>
      </c>
      <c r="M31" s="50">
        <v>36</v>
      </c>
      <c r="O31" s="49">
        <v>1813</v>
      </c>
      <c r="P31" s="49" t="s">
        <v>567</v>
      </c>
      <c r="Q31" s="50">
        <v>7</v>
      </c>
      <c r="R31" s="50">
        <v>57</v>
      </c>
      <c r="S31" s="50">
        <v>32</v>
      </c>
      <c r="T31" s="50">
        <v>35</v>
      </c>
      <c r="U31" s="50">
        <v>25</v>
      </c>
      <c r="V31" s="51">
        <f t="shared" si="1"/>
        <v>156</v>
      </c>
      <c r="W31" s="50">
        <v>36</v>
      </c>
      <c r="X31" s="50">
        <v>75</v>
      </c>
      <c r="Y31" s="50">
        <v>82</v>
      </c>
      <c r="Z31" s="50">
        <v>38</v>
      </c>
      <c r="AA31" s="50">
        <v>61</v>
      </c>
      <c r="AC31" s="49">
        <v>1604</v>
      </c>
      <c r="AD31" s="49" t="s">
        <v>564</v>
      </c>
      <c r="AE31" s="50">
        <v>14</v>
      </c>
      <c r="AF31" s="50">
        <v>31</v>
      </c>
      <c r="AG31" s="50">
        <v>82</v>
      </c>
      <c r="AH31" s="50">
        <v>47</v>
      </c>
      <c r="AI31" s="50">
        <v>89</v>
      </c>
      <c r="AJ31" s="46">
        <f t="shared" si="2"/>
        <v>263</v>
      </c>
      <c r="AK31" s="50">
        <v>2</v>
      </c>
      <c r="AL31" s="50">
        <v>84</v>
      </c>
      <c r="AM31" s="50">
        <v>56</v>
      </c>
      <c r="AN31" s="50">
        <v>65</v>
      </c>
      <c r="AO31" s="50">
        <v>48</v>
      </c>
      <c r="AQ31" s="49">
        <v>1030</v>
      </c>
      <c r="AR31" s="49" t="s">
        <v>564</v>
      </c>
      <c r="AS31" s="50">
        <v>52</v>
      </c>
      <c r="AT31" s="50">
        <v>38</v>
      </c>
      <c r="AU31" s="50">
        <v>82</v>
      </c>
      <c r="AV31" s="50">
        <v>17</v>
      </c>
      <c r="AW31" s="50">
        <v>20</v>
      </c>
      <c r="AX31" s="46">
        <f t="shared" si="3"/>
        <v>209</v>
      </c>
      <c r="AY31" s="50">
        <v>39</v>
      </c>
      <c r="AZ31" s="50">
        <v>79</v>
      </c>
      <c r="BA31" s="50">
        <v>61</v>
      </c>
      <c r="BB31" s="50">
        <v>81</v>
      </c>
      <c r="BC31" s="50">
        <v>37</v>
      </c>
      <c r="BE31" s="49">
        <v>926</v>
      </c>
      <c r="BF31" s="49" t="s">
        <v>567</v>
      </c>
      <c r="BG31" s="50">
        <v>53</v>
      </c>
      <c r="BH31" s="50">
        <v>70</v>
      </c>
      <c r="BI31" s="50">
        <v>22</v>
      </c>
      <c r="BJ31" s="50">
        <v>7</v>
      </c>
      <c r="BK31" s="50">
        <v>12</v>
      </c>
      <c r="BL31" s="51">
        <f t="shared" si="4"/>
        <v>164</v>
      </c>
      <c r="BM31" s="50">
        <v>21</v>
      </c>
      <c r="BN31" s="50">
        <v>87</v>
      </c>
      <c r="BO31" s="50">
        <v>72</v>
      </c>
      <c r="BP31" s="50">
        <v>18</v>
      </c>
      <c r="BQ31" s="50">
        <v>57</v>
      </c>
      <c r="BS31" s="49">
        <v>614</v>
      </c>
      <c r="BT31" s="49" t="s">
        <v>562</v>
      </c>
      <c r="BU31" s="50">
        <v>79</v>
      </c>
      <c r="BV31" s="50">
        <v>69</v>
      </c>
      <c r="BW31" s="50">
        <v>85</v>
      </c>
      <c r="BX31" s="50">
        <v>19</v>
      </c>
      <c r="BY31" s="50">
        <v>32</v>
      </c>
      <c r="BZ31" s="46">
        <f t="shared" si="5"/>
        <v>284</v>
      </c>
      <c r="CA31" s="50">
        <v>48</v>
      </c>
      <c r="CB31" s="50">
        <v>60</v>
      </c>
      <c r="CC31" s="50">
        <v>62</v>
      </c>
      <c r="CD31" s="50">
        <v>37</v>
      </c>
      <c r="CE31" s="50">
        <v>33</v>
      </c>
      <c r="CG31" s="49">
        <v>509</v>
      </c>
      <c r="CH31" s="49" t="s">
        <v>559</v>
      </c>
      <c r="CI31" s="50">
        <v>52</v>
      </c>
      <c r="CJ31" s="50">
        <v>81</v>
      </c>
      <c r="CK31" s="50">
        <v>6</v>
      </c>
      <c r="CL31" s="50">
        <v>25</v>
      </c>
      <c r="CM31" s="50">
        <v>75</v>
      </c>
      <c r="CN31" s="46">
        <f t="shared" si="6"/>
        <v>239</v>
      </c>
      <c r="CO31" s="50">
        <v>31</v>
      </c>
      <c r="CP31" s="50">
        <v>66</v>
      </c>
      <c r="CQ31" s="50">
        <v>51</v>
      </c>
      <c r="CR31" s="50">
        <v>71</v>
      </c>
      <c r="CS31" s="50">
        <v>8</v>
      </c>
    </row>
    <row r="32" spans="1:97" x14ac:dyDescent="0.2">
      <c r="A32" s="44">
        <v>2021</v>
      </c>
      <c r="B32" s="44" t="s">
        <v>575</v>
      </c>
      <c r="C32" s="45">
        <v>30</v>
      </c>
      <c r="D32" s="45">
        <v>47</v>
      </c>
      <c r="E32" s="45">
        <v>63</v>
      </c>
      <c r="F32" s="45">
        <v>29</v>
      </c>
      <c r="G32" s="45">
        <v>58</v>
      </c>
      <c r="H32" s="46">
        <f t="shared" si="0"/>
        <v>227</v>
      </c>
      <c r="I32" s="45">
        <v>12</v>
      </c>
      <c r="J32" s="45">
        <v>82</v>
      </c>
      <c r="K32" s="45">
        <v>15</v>
      </c>
      <c r="L32" s="45">
        <v>88</v>
      </c>
      <c r="M32" s="45">
        <v>2</v>
      </c>
      <c r="O32" s="44">
        <v>1814</v>
      </c>
      <c r="P32" s="44" t="s">
        <v>574</v>
      </c>
      <c r="Q32" s="45">
        <v>63</v>
      </c>
      <c r="R32" s="45">
        <v>23</v>
      </c>
      <c r="S32" s="45">
        <v>41</v>
      </c>
      <c r="T32" s="45">
        <v>21</v>
      </c>
      <c r="U32" s="45">
        <v>83</v>
      </c>
      <c r="V32" s="46">
        <f t="shared" si="1"/>
        <v>231</v>
      </c>
      <c r="W32" s="45">
        <v>24</v>
      </c>
      <c r="X32" s="45">
        <v>68</v>
      </c>
      <c r="Y32" s="45">
        <v>64</v>
      </c>
      <c r="Z32" s="45">
        <v>9</v>
      </c>
      <c r="AA32" s="45">
        <v>4</v>
      </c>
      <c r="AC32" s="44">
        <v>1605</v>
      </c>
      <c r="AD32" s="44" t="s">
        <v>571</v>
      </c>
      <c r="AE32" s="45">
        <v>68</v>
      </c>
      <c r="AF32" s="45">
        <v>83</v>
      </c>
      <c r="AG32" s="45">
        <v>34</v>
      </c>
      <c r="AH32" s="45">
        <v>69</v>
      </c>
      <c r="AI32" s="45">
        <v>81</v>
      </c>
      <c r="AJ32" s="46">
        <f t="shared" si="2"/>
        <v>335</v>
      </c>
      <c r="AK32" s="45">
        <v>13</v>
      </c>
      <c r="AL32" s="45">
        <v>41</v>
      </c>
      <c r="AM32" s="45">
        <v>55</v>
      </c>
      <c r="AN32" s="45">
        <v>19</v>
      </c>
      <c r="AO32" s="45">
        <v>45</v>
      </c>
      <c r="AQ32" s="44">
        <v>1031</v>
      </c>
      <c r="AR32" s="44" t="s">
        <v>571</v>
      </c>
      <c r="AS32" s="45">
        <v>71</v>
      </c>
      <c r="AT32" s="45">
        <v>65</v>
      </c>
      <c r="AU32" s="45">
        <v>52</v>
      </c>
      <c r="AV32" s="45">
        <v>48</v>
      </c>
      <c r="AW32" s="45">
        <v>50</v>
      </c>
      <c r="AX32" s="46">
        <f t="shared" si="3"/>
        <v>286</v>
      </c>
      <c r="AY32" s="45">
        <v>40</v>
      </c>
      <c r="AZ32" s="45">
        <v>33</v>
      </c>
      <c r="BA32" s="45">
        <v>67</v>
      </c>
      <c r="BB32" s="45">
        <v>32</v>
      </c>
      <c r="BC32" s="45">
        <v>68</v>
      </c>
      <c r="BE32" s="44">
        <v>927</v>
      </c>
      <c r="BF32" s="44" t="s">
        <v>574</v>
      </c>
      <c r="BG32" s="45">
        <v>65</v>
      </c>
      <c r="BH32" s="45">
        <v>29</v>
      </c>
      <c r="BI32" s="45">
        <v>21</v>
      </c>
      <c r="BJ32" s="45">
        <v>3</v>
      </c>
      <c r="BK32" s="45">
        <v>42</v>
      </c>
      <c r="BL32" s="48">
        <f t="shared" si="4"/>
        <v>160</v>
      </c>
      <c r="BM32" s="45">
        <v>30</v>
      </c>
      <c r="BN32" s="45">
        <v>15</v>
      </c>
      <c r="BO32" s="45">
        <v>68</v>
      </c>
      <c r="BP32" s="45">
        <v>87</v>
      </c>
      <c r="BQ32" s="45">
        <v>31</v>
      </c>
      <c r="BS32" s="44">
        <v>615</v>
      </c>
      <c r="BT32" s="44" t="s">
        <v>569</v>
      </c>
      <c r="BU32" s="45">
        <v>58</v>
      </c>
      <c r="BV32" s="45">
        <v>50</v>
      </c>
      <c r="BW32" s="45">
        <v>21</v>
      </c>
      <c r="BX32" s="45">
        <v>66</v>
      </c>
      <c r="BY32" s="45">
        <v>18</v>
      </c>
      <c r="BZ32" s="46">
        <f t="shared" si="5"/>
        <v>213</v>
      </c>
      <c r="CA32" s="45">
        <v>75</v>
      </c>
      <c r="CB32" s="45">
        <v>70</v>
      </c>
      <c r="CC32" s="45">
        <v>4</v>
      </c>
      <c r="CD32" s="45">
        <v>40</v>
      </c>
      <c r="CE32" s="45">
        <v>6</v>
      </c>
      <c r="CG32" s="44">
        <v>510</v>
      </c>
      <c r="CH32" s="44" t="s">
        <v>566</v>
      </c>
      <c r="CI32" s="45">
        <v>86</v>
      </c>
      <c r="CJ32" s="45">
        <v>90</v>
      </c>
      <c r="CK32" s="45">
        <v>9</v>
      </c>
      <c r="CL32" s="45">
        <v>19</v>
      </c>
      <c r="CM32" s="45">
        <v>23</v>
      </c>
      <c r="CN32" s="46">
        <f t="shared" si="6"/>
        <v>227</v>
      </c>
      <c r="CO32" s="45">
        <v>80</v>
      </c>
      <c r="CP32" s="45">
        <v>61</v>
      </c>
      <c r="CQ32" s="45">
        <v>62</v>
      </c>
      <c r="CR32" s="45">
        <v>71</v>
      </c>
      <c r="CS32" s="45">
        <v>51</v>
      </c>
    </row>
    <row r="33" spans="1:97" x14ac:dyDescent="0.2">
      <c r="A33" s="49">
        <v>2022</v>
      </c>
      <c r="B33" s="49" t="s">
        <v>582</v>
      </c>
      <c r="C33" s="50">
        <v>63</v>
      </c>
      <c r="D33" s="50">
        <v>67</v>
      </c>
      <c r="E33" s="50">
        <v>74</v>
      </c>
      <c r="F33" s="50">
        <v>89</v>
      </c>
      <c r="G33" s="50">
        <v>64</v>
      </c>
      <c r="H33" s="46">
        <f t="shared" si="0"/>
        <v>357</v>
      </c>
      <c r="I33" s="50">
        <v>56</v>
      </c>
      <c r="J33" s="50">
        <v>85</v>
      </c>
      <c r="K33" s="50">
        <v>1</v>
      </c>
      <c r="L33" s="50">
        <v>39</v>
      </c>
      <c r="M33" s="50">
        <v>18</v>
      </c>
      <c r="O33" s="49">
        <v>1815</v>
      </c>
      <c r="P33" s="49" t="s">
        <v>581</v>
      </c>
      <c r="Q33" s="50">
        <v>51</v>
      </c>
      <c r="R33" s="50">
        <v>61</v>
      </c>
      <c r="S33" s="50">
        <v>35</v>
      </c>
      <c r="T33" s="50">
        <v>17</v>
      </c>
      <c r="U33" s="50">
        <v>2</v>
      </c>
      <c r="V33" s="51">
        <f t="shared" si="1"/>
        <v>166</v>
      </c>
      <c r="W33" s="50">
        <v>37</v>
      </c>
      <c r="X33" s="50">
        <v>19</v>
      </c>
      <c r="Y33" s="50">
        <v>78</v>
      </c>
      <c r="Z33" s="50">
        <v>55</v>
      </c>
      <c r="AA33" s="50">
        <v>76</v>
      </c>
      <c r="AC33" s="49">
        <v>1606</v>
      </c>
      <c r="AD33" s="49" t="s">
        <v>578</v>
      </c>
      <c r="AE33" s="50">
        <v>25</v>
      </c>
      <c r="AF33" s="50">
        <v>32</v>
      </c>
      <c r="AG33" s="50">
        <v>68</v>
      </c>
      <c r="AH33" s="50">
        <v>33</v>
      </c>
      <c r="AI33" s="50">
        <v>81</v>
      </c>
      <c r="AJ33" s="46">
        <f t="shared" si="2"/>
        <v>239</v>
      </c>
      <c r="AK33" s="50">
        <v>58</v>
      </c>
      <c r="AL33" s="50">
        <v>83</v>
      </c>
      <c r="AM33" s="50">
        <v>71</v>
      </c>
      <c r="AN33" s="50">
        <v>17</v>
      </c>
      <c r="AO33" s="50">
        <v>12</v>
      </c>
      <c r="AQ33" s="49">
        <v>1032</v>
      </c>
      <c r="AR33" s="49" t="s">
        <v>578</v>
      </c>
      <c r="AS33" s="50">
        <v>41</v>
      </c>
      <c r="AT33" s="50">
        <v>15</v>
      </c>
      <c r="AU33" s="50">
        <v>54</v>
      </c>
      <c r="AV33" s="50">
        <v>47</v>
      </c>
      <c r="AW33" s="50">
        <v>11</v>
      </c>
      <c r="AX33" s="51">
        <f t="shared" si="3"/>
        <v>168</v>
      </c>
      <c r="AY33" s="50">
        <v>81</v>
      </c>
      <c r="AZ33" s="50">
        <v>18</v>
      </c>
      <c r="BA33" s="50">
        <v>40</v>
      </c>
      <c r="BB33" s="50">
        <v>56</v>
      </c>
      <c r="BC33" s="50">
        <v>64</v>
      </c>
      <c r="BE33" s="49">
        <v>928</v>
      </c>
      <c r="BF33" s="49" t="s">
        <v>581</v>
      </c>
      <c r="BG33" s="50">
        <v>47</v>
      </c>
      <c r="BH33" s="50">
        <v>33</v>
      </c>
      <c r="BI33" s="50">
        <v>14</v>
      </c>
      <c r="BJ33" s="50">
        <v>35</v>
      </c>
      <c r="BK33" s="50">
        <v>10</v>
      </c>
      <c r="BL33" s="51">
        <f t="shared" si="4"/>
        <v>139</v>
      </c>
      <c r="BM33" s="50">
        <v>4</v>
      </c>
      <c r="BN33" s="50">
        <v>57</v>
      </c>
      <c r="BO33" s="50">
        <v>18</v>
      </c>
      <c r="BP33" s="50">
        <v>3</v>
      </c>
      <c r="BQ33" s="50">
        <v>26</v>
      </c>
      <c r="BS33" s="49">
        <v>616</v>
      </c>
      <c r="BT33" s="49" t="s">
        <v>576</v>
      </c>
      <c r="BU33" s="50">
        <v>63</v>
      </c>
      <c r="BV33" s="50">
        <v>64</v>
      </c>
      <c r="BW33" s="50">
        <v>40</v>
      </c>
      <c r="BX33" s="50">
        <v>44</v>
      </c>
      <c r="BY33" s="50">
        <v>13</v>
      </c>
      <c r="BZ33" s="46">
        <f t="shared" si="5"/>
        <v>224</v>
      </c>
      <c r="CA33" s="50">
        <v>41</v>
      </c>
      <c r="CB33" s="50">
        <v>28</v>
      </c>
      <c r="CC33" s="50">
        <v>1</v>
      </c>
      <c r="CD33" s="50">
        <v>51</v>
      </c>
      <c r="CE33" s="50">
        <v>4</v>
      </c>
      <c r="CG33" s="49">
        <v>511</v>
      </c>
      <c r="CH33" s="49" t="s">
        <v>573</v>
      </c>
      <c r="CI33" s="50">
        <v>26</v>
      </c>
      <c r="CJ33" s="47">
        <v>42</v>
      </c>
      <c r="CK33" s="50">
        <v>40</v>
      </c>
      <c r="CL33" s="50">
        <v>38</v>
      </c>
      <c r="CM33" s="50">
        <v>30</v>
      </c>
      <c r="CN33" s="51">
        <f t="shared" si="6"/>
        <v>176</v>
      </c>
      <c r="CO33" s="50">
        <v>18</v>
      </c>
      <c r="CP33" s="50">
        <v>80</v>
      </c>
      <c r="CQ33" s="50">
        <v>9</v>
      </c>
      <c r="CR33" s="47">
        <v>24</v>
      </c>
      <c r="CS33" s="47">
        <v>57</v>
      </c>
    </row>
    <row r="34" spans="1:97" x14ac:dyDescent="0.2">
      <c r="A34" s="44">
        <v>2023</v>
      </c>
      <c r="B34" s="44" t="s">
        <v>589</v>
      </c>
      <c r="C34" s="45">
        <v>89</v>
      </c>
      <c r="D34" s="45">
        <v>85</v>
      </c>
      <c r="E34" s="45">
        <v>50</v>
      </c>
      <c r="F34" s="45">
        <v>2</v>
      </c>
      <c r="G34" s="45">
        <v>82</v>
      </c>
      <c r="H34" s="46">
        <f t="shared" si="0"/>
        <v>308</v>
      </c>
      <c r="I34" s="45">
        <v>64</v>
      </c>
      <c r="J34" s="45">
        <v>65</v>
      </c>
      <c r="K34" s="45">
        <v>8</v>
      </c>
      <c r="L34" s="45">
        <v>66</v>
      </c>
      <c r="M34" s="45">
        <v>29</v>
      </c>
      <c r="O34" s="44">
        <v>1816</v>
      </c>
      <c r="P34" s="44" t="s">
        <v>588</v>
      </c>
      <c r="Q34" s="45">
        <v>3</v>
      </c>
      <c r="R34" s="45">
        <v>7</v>
      </c>
      <c r="S34" s="45">
        <v>87</v>
      </c>
      <c r="T34" s="45">
        <v>49</v>
      </c>
      <c r="U34" s="45">
        <v>9</v>
      </c>
      <c r="V34" s="48">
        <f t="shared" si="1"/>
        <v>155</v>
      </c>
      <c r="W34" s="45">
        <v>83</v>
      </c>
      <c r="X34" s="45">
        <v>51</v>
      </c>
      <c r="Y34" s="45">
        <v>55</v>
      </c>
      <c r="Z34" s="45">
        <v>1</v>
      </c>
      <c r="AA34" s="45">
        <v>64</v>
      </c>
      <c r="AC34" s="44">
        <v>1607</v>
      </c>
      <c r="AD34" s="44" t="s">
        <v>585</v>
      </c>
      <c r="AE34" s="45">
        <v>37</v>
      </c>
      <c r="AF34" s="45">
        <v>52</v>
      </c>
      <c r="AG34" s="45">
        <v>74</v>
      </c>
      <c r="AH34" s="45">
        <v>70</v>
      </c>
      <c r="AI34" s="45">
        <v>83</v>
      </c>
      <c r="AJ34" s="46">
        <f t="shared" si="2"/>
        <v>316</v>
      </c>
      <c r="AK34" s="45">
        <v>42</v>
      </c>
      <c r="AL34" s="45">
        <v>47</v>
      </c>
      <c r="AM34" s="45">
        <v>15</v>
      </c>
      <c r="AN34" s="45">
        <v>23</v>
      </c>
      <c r="AO34" s="45">
        <v>19</v>
      </c>
      <c r="AQ34" s="44">
        <v>1033</v>
      </c>
      <c r="AR34" s="44" t="s">
        <v>585</v>
      </c>
      <c r="AS34" s="45">
        <v>60</v>
      </c>
      <c r="AT34" s="45">
        <v>36</v>
      </c>
      <c r="AU34" s="45">
        <v>2</v>
      </c>
      <c r="AV34" s="45">
        <v>23</v>
      </c>
      <c r="AW34" s="45">
        <v>68</v>
      </c>
      <c r="AX34" s="46">
        <f t="shared" si="3"/>
        <v>189</v>
      </c>
      <c r="AY34" s="45">
        <v>32</v>
      </c>
      <c r="AZ34" s="45">
        <v>1</v>
      </c>
      <c r="BA34" s="45">
        <v>54</v>
      </c>
      <c r="BB34" s="45">
        <v>46</v>
      </c>
      <c r="BC34" s="45">
        <v>78</v>
      </c>
      <c r="BE34" s="44">
        <v>929</v>
      </c>
      <c r="BF34" s="44" t="s">
        <v>588</v>
      </c>
      <c r="BG34" s="45">
        <v>86</v>
      </c>
      <c r="BH34" s="45">
        <v>51</v>
      </c>
      <c r="BI34" s="45">
        <v>46</v>
      </c>
      <c r="BJ34" s="45">
        <v>28</v>
      </c>
      <c r="BK34" s="45">
        <v>90</v>
      </c>
      <c r="BL34" s="46">
        <f t="shared" si="4"/>
        <v>301</v>
      </c>
      <c r="BM34" s="45">
        <v>88</v>
      </c>
      <c r="BN34" s="45">
        <v>66</v>
      </c>
      <c r="BO34" s="45">
        <v>54</v>
      </c>
      <c r="BP34" s="45">
        <v>84</v>
      </c>
      <c r="BQ34" s="45">
        <v>47</v>
      </c>
      <c r="BS34" s="44">
        <v>617</v>
      </c>
      <c r="BT34" s="44" t="s">
        <v>583</v>
      </c>
      <c r="BU34" s="45">
        <v>58</v>
      </c>
      <c r="BV34" s="45">
        <v>79</v>
      </c>
      <c r="BW34" s="45">
        <v>25</v>
      </c>
      <c r="BX34" s="45">
        <v>21</v>
      </c>
      <c r="BY34" s="45">
        <v>51</v>
      </c>
      <c r="BZ34" s="46">
        <f t="shared" si="5"/>
        <v>234</v>
      </c>
      <c r="CA34" s="45">
        <v>67</v>
      </c>
      <c r="CB34" s="45">
        <v>38</v>
      </c>
      <c r="CC34" s="45">
        <v>27</v>
      </c>
      <c r="CD34" s="45">
        <v>75</v>
      </c>
      <c r="CE34" s="45">
        <v>31</v>
      </c>
      <c r="CG34" s="44">
        <v>512</v>
      </c>
      <c r="CH34" s="44" t="s">
        <v>580</v>
      </c>
      <c r="CI34" s="45">
        <v>29</v>
      </c>
      <c r="CJ34" s="45">
        <v>84</v>
      </c>
      <c r="CK34" s="45">
        <v>74</v>
      </c>
      <c r="CL34" s="45">
        <v>3</v>
      </c>
      <c r="CM34" s="45">
        <v>88</v>
      </c>
      <c r="CN34" s="46">
        <f t="shared" si="6"/>
        <v>278</v>
      </c>
      <c r="CO34" s="45">
        <v>64</v>
      </c>
      <c r="CP34" s="45">
        <v>62</v>
      </c>
      <c r="CQ34" s="45">
        <v>33</v>
      </c>
      <c r="CR34" s="45">
        <v>10</v>
      </c>
      <c r="CS34" s="45">
        <v>47</v>
      </c>
    </row>
    <row r="35" spans="1:97" x14ac:dyDescent="0.2">
      <c r="A35" s="49">
        <v>2024</v>
      </c>
      <c r="B35" s="49" t="s">
        <v>596</v>
      </c>
      <c r="C35" s="47">
        <v>57</v>
      </c>
      <c r="D35" s="47">
        <v>42</v>
      </c>
      <c r="E35" s="50">
        <v>72</v>
      </c>
      <c r="F35" s="50">
        <v>3</v>
      </c>
      <c r="G35" s="50">
        <v>45</v>
      </c>
      <c r="H35" s="46">
        <f t="shared" si="0"/>
        <v>219</v>
      </c>
      <c r="I35" s="50">
        <v>28</v>
      </c>
      <c r="J35" s="50">
        <v>7</v>
      </c>
      <c r="K35" s="50">
        <v>38</v>
      </c>
      <c r="L35" s="47">
        <v>24</v>
      </c>
      <c r="M35" s="50">
        <v>66</v>
      </c>
      <c r="O35" s="49">
        <v>1817</v>
      </c>
      <c r="P35" s="49" t="s">
        <v>595</v>
      </c>
      <c r="Q35" s="50">
        <v>39</v>
      </c>
      <c r="R35" s="50">
        <v>52</v>
      </c>
      <c r="S35" s="50">
        <v>83</v>
      </c>
      <c r="T35" s="50">
        <v>32</v>
      </c>
      <c r="U35" s="50">
        <v>17</v>
      </c>
      <c r="V35" s="46">
        <f t="shared" si="1"/>
        <v>223</v>
      </c>
      <c r="W35" s="50">
        <v>56</v>
      </c>
      <c r="X35" s="50">
        <v>1</v>
      </c>
      <c r="Y35" s="50">
        <v>53</v>
      </c>
      <c r="Z35" s="50">
        <v>65</v>
      </c>
      <c r="AA35" s="50">
        <v>6</v>
      </c>
      <c r="AC35" s="49">
        <v>1608</v>
      </c>
      <c r="AD35" s="49" t="s">
        <v>592</v>
      </c>
      <c r="AE35" s="50">
        <v>8</v>
      </c>
      <c r="AF35" s="50">
        <v>28</v>
      </c>
      <c r="AG35" s="50">
        <v>39</v>
      </c>
      <c r="AH35" s="50">
        <v>32</v>
      </c>
      <c r="AI35" s="50">
        <v>89</v>
      </c>
      <c r="AJ35" s="46">
        <f t="shared" si="2"/>
        <v>196</v>
      </c>
      <c r="AK35" s="50">
        <v>59</v>
      </c>
      <c r="AL35" s="50">
        <v>76</v>
      </c>
      <c r="AM35" s="50">
        <v>49</v>
      </c>
      <c r="AN35" s="50">
        <v>16</v>
      </c>
      <c r="AO35" s="50">
        <v>14</v>
      </c>
      <c r="AQ35" s="49">
        <v>1034</v>
      </c>
      <c r="AR35" s="49" t="s">
        <v>592</v>
      </c>
      <c r="AS35" s="50">
        <v>81</v>
      </c>
      <c r="AT35" s="50">
        <v>50</v>
      </c>
      <c r="AU35" s="50">
        <v>70</v>
      </c>
      <c r="AV35" s="50">
        <v>14</v>
      </c>
      <c r="AW35" s="50">
        <v>44</v>
      </c>
      <c r="AX35" s="46">
        <f t="shared" si="3"/>
        <v>259</v>
      </c>
      <c r="AY35" s="50">
        <v>21</v>
      </c>
      <c r="AZ35" s="50">
        <v>68</v>
      </c>
      <c r="BA35" s="50">
        <v>65</v>
      </c>
      <c r="BB35" s="50">
        <v>87</v>
      </c>
      <c r="BC35" s="50">
        <v>37</v>
      </c>
      <c r="BE35" s="49">
        <v>930</v>
      </c>
      <c r="BF35" s="49" t="s">
        <v>595</v>
      </c>
      <c r="BG35" s="50">
        <v>77</v>
      </c>
      <c r="BH35" s="50">
        <v>25</v>
      </c>
      <c r="BI35" s="50">
        <v>43</v>
      </c>
      <c r="BJ35" s="50">
        <v>20</v>
      </c>
      <c r="BK35" s="50">
        <v>28</v>
      </c>
      <c r="BL35" s="46">
        <f t="shared" si="4"/>
        <v>193</v>
      </c>
      <c r="BM35" s="50">
        <v>21</v>
      </c>
      <c r="BN35" s="50">
        <v>48</v>
      </c>
      <c r="BO35" s="50">
        <v>69</v>
      </c>
      <c r="BP35" s="50">
        <v>33</v>
      </c>
      <c r="BQ35" s="50">
        <v>47</v>
      </c>
      <c r="BS35" s="49">
        <v>618</v>
      </c>
      <c r="BT35" s="49" t="s">
        <v>590</v>
      </c>
      <c r="BU35" s="50">
        <v>54</v>
      </c>
      <c r="BV35" s="50">
        <v>7</v>
      </c>
      <c r="BW35" s="50">
        <v>12</v>
      </c>
      <c r="BX35" s="50">
        <v>8</v>
      </c>
      <c r="BY35" s="50">
        <v>88</v>
      </c>
      <c r="BZ35" s="51">
        <f t="shared" si="5"/>
        <v>169</v>
      </c>
      <c r="CA35" s="50">
        <v>41</v>
      </c>
      <c r="CB35" s="50">
        <v>16</v>
      </c>
      <c r="CC35" s="50">
        <v>72</v>
      </c>
      <c r="CD35" s="50">
        <v>46</v>
      </c>
      <c r="CE35" s="50">
        <v>2</v>
      </c>
      <c r="CG35" s="49">
        <v>513</v>
      </c>
      <c r="CH35" s="49" t="s">
        <v>587</v>
      </c>
      <c r="CI35" s="50">
        <v>76</v>
      </c>
      <c r="CJ35" s="50">
        <v>17</v>
      </c>
      <c r="CK35" s="50">
        <v>58</v>
      </c>
      <c r="CL35" s="50">
        <v>32</v>
      </c>
      <c r="CM35" s="50">
        <v>89</v>
      </c>
      <c r="CN35" s="46">
        <f t="shared" si="6"/>
        <v>272</v>
      </c>
      <c r="CO35" s="50">
        <v>20</v>
      </c>
      <c r="CP35" s="50">
        <v>23</v>
      </c>
      <c r="CQ35" s="50">
        <v>3</v>
      </c>
      <c r="CR35" s="50">
        <v>38</v>
      </c>
      <c r="CS35" s="50">
        <v>55</v>
      </c>
    </row>
    <row r="36" spans="1:97" x14ac:dyDescent="0.2">
      <c r="A36" s="44">
        <v>2025</v>
      </c>
      <c r="B36" s="44" t="s">
        <v>603</v>
      </c>
      <c r="C36" s="45">
        <v>80</v>
      </c>
      <c r="D36" s="45">
        <v>27</v>
      </c>
      <c r="E36" s="45">
        <v>10</v>
      </c>
      <c r="F36" s="45">
        <v>21</v>
      </c>
      <c r="G36" s="45">
        <v>76</v>
      </c>
      <c r="H36" s="46">
        <f t="shared" si="0"/>
        <v>214</v>
      </c>
      <c r="I36" s="45">
        <v>54</v>
      </c>
      <c r="J36" s="45">
        <v>1</v>
      </c>
      <c r="K36" s="45">
        <v>35</v>
      </c>
      <c r="L36" s="45">
        <v>16</v>
      </c>
      <c r="M36" s="45">
        <v>73</v>
      </c>
      <c r="O36" s="44">
        <v>1818</v>
      </c>
      <c r="P36" s="44" t="s">
        <v>602</v>
      </c>
      <c r="Q36" s="45">
        <v>10</v>
      </c>
      <c r="R36" s="45">
        <v>86</v>
      </c>
      <c r="S36" s="45">
        <v>54</v>
      </c>
      <c r="T36" s="45">
        <v>21</v>
      </c>
      <c r="U36" s="45">
        <v>52</v>
      </c>
      <c r="V36" s="46">
        <f t="shared" si="1"/>
        <v>223</v>
      </c>
      <c r="W36" s="45">
        <v>56</v>
      </c>
      <c r="X36" s="45">
        <v>68</v>
      </c>
      <c r="Y36" s="45">
        <v>45</v>
      </c>
      <c r="Z36" s="45">
        <v>20</v>
      </c>
      <c r="AA36" s="45">
        <v>76</v>
      </c>
      <c r="AC36" s="44">
        <v>1609</v>
      </c>
      <c r="AD36" s="44" t="s">
        <v>599</v>
      </c>
      <c r="AE36" s="45">
        <v>40</v>
      </c>
      <c r="AF36" s="45">
        <v>30</v>
      </c>
      <c r="AG36" s="45">
        <v>88</v>
      </c>
      <c r="AH36" s="45">
        <v>65</v>
      </c>
      <c r="AI36" s="45">
        <v>36</v>
      </c>
      <c r="AJ36" s="46">
        <f t="shared" si="2"/>
        <v>259</v>
      </c>
      <c r="AK36" s="45">
        <v>31</v>
      </c>
      <c r="AL36" s="45">
        <v>16</v>
      </c>
      <c r="AM36" s="45">
        <v>52</v>
      </c>
      <c r="AN36" s="45">
        <v>61</v>
      </c>
      <c r="AO36" s="45">
        <v>66</v>
      </c>
      <c r="AQ36" s="44">
        <v>1035</v>
      </c>
      <c r="AR36" s="44" t="s">
        <v>599</v>
      </c>
      <c r="AS36" s="45">
        <v>67</v>
      </c>
      <c r="AT36" s="45">
        <v>79</v>
      </c>
      <c r="AU36" s="45">
        <v>9</v>
      </c>
      <c r="AV36" s="45">
        <v>6</v>
      </c>
      <c r="AW36" s="45">
        <v>21</v>
      </c>
      <c r="AX36" s="48">
        <f t="shared" si="3"/>
        <v>182</v>
      </c>
      <c r="AY36" s="45">
        <v>3</v>
      </c>
      <c r="AZ36" s="45">
        <v>5</v>
      </c>
      <c r="BA36" s="45">
        <v>49</v>
      </c>
      <c r="BB36" s="45">
        <v>71</v>
      </c>
      <c r="BC36" s="45">
        <v>38</v>
      </c>
      <c r="BE36" s="44">
        <v>931</v>
      </c>
      <c r="BF36" s="44" t="s">
        <v>602</v>
      </c>
      <c r="BG36" s="45">
        <v>15</v>
      </c>
      <c r="BH36" s="45">
        <v>5</v>
      </c>
      <c r="BI36" s="45">
        <v>80</v>
      </c>
      <c r="BJ36" s="45">
        <v>49</v>
      </c>
      <c r="BK36" s="45">
        <v>35</v>
      </c>
      <c r="BL36" s="46">
        <f t="shared" si="4"/>
        <v>184</v>
      </c>
      <c r="BM36" s="45">
        <v>86</v>
      </c>
      <c r="BN36" s="45">
        <v>53</v>
      </c>
      <c r="BO36" s="45">
        <v>26</v>
      </c>
      <c r="BP36" s="45">
        <v>11</v>
      </c>
      <c r="BQ36" s="45">
        <v>79</v>
      </c>
      <c r="BS36" s="44">
        <v>619</v>
      </c>
      <c r="BT36" s="44" t="s">
        <v>597</v>
      </c>
      <c r="BU36" s="45">
        <v>30</v>
      </c>
      <c r="BV36" s="45">
        <v>23</v>
      </c>
      <c r="BW36" s="45">
        <v>28</v>
      </c>
      <c r="BX36" s="45">
        <v>56</v>
      </c>
      <c r="BY36" s="45">
        <v>52</v>
      </c>
      <c r="BZ36" s="46">
        <f t="shared" si="5"/>
        <v>189</v>
      </c>
      <c r="CA36" s="45">
        <v>64</v>
      </c>
      <c r="CB36" s="45">
        <v>22</v>
      </c>
      <c r="CC36" s="45">
        <v>15</v>
      </c>
      <c r="CD36" s="45">
        <v>50</v>
      </c>
      <c r="CE36" s="45">
        <v>37</v>
      </c>
      <c r="CG36" s="44">
        <v>514</v>
      </c>
      <c r="CH36" s="44" t="s">
        <v>594</v>
      </c>
      <c r="CI36" s="45">
        <v>57</v>
      </c>
      <c r="CJ36" s="45">
        <v>52</v>
      </c>
      <c r="CK36" s="45">
        <v>7</v>
      </c>
      <c r="CL36" s="45">
        <v>25</v>
      </c>
      <c r="CM36" s="45">
        <v>9</v>
      </c>
      <c r="CN36" s="48">
        <f t="shared" si="6"/>
        <v>150</v>
      </c>
      <c r="CO36" s="45">
        <v>44</v>
      </c>
      <c r="CP36" s="45">
        <v>68</v>
      </c>
      <c r="CQ36" s="45">
        <v>33</v>
      </c>
      <c r="CR36" s="45">
        <v>51</v>
      </c>
      <c r="CS36" s="45">
        <v>79</v>
      </c>
    </row>
    <row r="37" spans="1:97" x14ac:dyDescent="0.2">
      <c r="A37" s="49">
        <v>2026</v>
      </c>
      <c r="B37" s="49" t="s">
        <v>610</v>
      </c>
      <c r="C37" s="50">
        <v>28</v>
      </c>
      <c r="D37" s="50">
        <v>42</v>
      </c>
      <c r="E37" s="50">
        <v>49</v>
      </c>
      <c r="F37" s="50">
        <v>55</v>
      </c>
      <c r="G37" s="50">
        <v>69</v>
      </c>
      <c r="H37" s="46">
        <f t="shared" si="0"/>
        <v>243</v>
      </c>
      <c r="I37" s="50">
        <v>38</v>
      </c>
      <c r="J37" s="50">
        <v>12</v>
      </c>
      <c r="K37" s="50">
        <v>66</v>
      </c>
      <c r="L37" s="50">
        <v>72</v>
      </c>
      <c r="M37" s="50">
        <v>11</v>
      </c>
      <c r="O37" s="49">
        <v>1819</v>
      </c>
      <c r="P37" s="49" t="s">
        <v>609</v>
      </c>
      <c r="Q37" s="50">
        <v>48</v>
      </c>
      <c r="R37" s="50">
        <v>2</v>
      </c>
      <c r="S37" s="50">
        <v>41</v>
      </c>
      <c r="T37" s="50">
        <v>55</v>
      </c>
      <c r="U37" s="50">
        <v>17</v>
      </c>
      <c r="V37" s="51">
        <f t="shared" si="1"/>
        <v>163</v>
      </c>
      <c r="W37" s="50">
        <v>46</v>
      </c>
      <c r="X37" s="50">
        <v>34</v>
      </c>
      <c r="Y37" s="50">
        <v>29</v>
      </c>
      <c r="Z37" s="50">
        <v>53</v>
      </c>
      <c r="AA37" s="50">
        <v>23</v>
      </c>
      <c r="AC37" s="49">
        <v>1610</v>
      </c>
      <c r="AD37" s="49" t="s">
        <v>606</v>
      </c>
      <c r="AE37" s="50">
        <v>70</v>
      </c>
      <c r="AF37" s="50">
        <v>27</v>
      </c>
      <c r="AG37" s="50">
        <v>78</v>
      </c>
      <c r="AH37" s="50">
        <v>28</v>
      </c>
      <c r="AI37" s="50">
        <v>19</v>
      </c>
      <c r="AJ37" s="46">
        <f t="shared" si="2"/>
        <v>222</v>
      </c>
      <c r="AK37" s="50">
        <v>84</v>
      </c>
      <c r="AL37" s="50">
        <v>56</v>
      </c>
      <c r="AM37" s="50">
        <v>81</v>
      </c>
      <c r="AN37" s="50">
        <v>11</v>
      </c>
      <c r="AO37" s="50">
        <v>72</v>
      </c>
      <c r="AQ37" s="49">
        <v>1036</v>
      </c>
      <c r="AR37" s="49" t="s">
        <v>606</v>
      </c>
      <c r="AS37" s="50">
        <v>38</v>
      </c>
      <c r="AT37" s="50">
        <v>79</v>
      </c>
      <c r="AU37" s="50">
        <v>8</v>
      </c>
      <c r="AV37" s="50">
        <v>4</v>
      </c>
      <c r="AW37" s="50">
        <v>58</v>
      </c>
      <c r="AX37" s="46">
        <f t="shared" si="3"/>
        <v>187</v>
      </c>
      <c r="AY37" s="50">
        <v>11</v>
      </c>
      <c r="AZ37" s="50">
        <v>63</v>
      </c>
      <c r="BA37" s="50">
        <v>72</v>
      </c>
      <c r="BB37" s="50">
        <v>48</v>
      </c>
      <c r="BC37" s="50">
        <v>70</v>
      </c>
      <c r="BE37" s="49">
        <v>932</v>
      </c>
      <c r="BF37" s="49" t="s">
        <v>609</v>
      </c>
      <c r="BG37" s="50">
        <v>61</v>
      </c>
      <c r="BH37" s="50">
        <v>49</v>
      </c>
      <c r="BI37" s="50">
        <v>88</v>
      </c>
      <c r="BJ37" s="50">
        <v>16</v>
      </c>
      <c r="BK37" s="50">
        <v>42</v>
      </c>
      <c r="BL37" s="46">
        <f t="shared" si="4"/>
        <v>256</v>
      </c>
      <c r="BM37" s="50">
        <v>2</v>
      </c>
      <c r="BN37" s="50">
        <v>28</v>
      </c>
      <c r="BO37" s="50">
        <v>24</v>
      </c>
      <c r="BP37" s="50">
        <v>51</v>
      </c>
      <c r="BQ37" s="50">
        <v>17</v>
      </c>
      <c r="BS37" s="49">
        <v>620</v>
      </c>
      <c r="BT37" s="49" t="s">
        <v>604</v>
      </c>
      <c r="BU37" s="50">
        <v>24</v>
      </c>
      <c r="BV37" s="50">
        <v>41</v>
      </c>
      <c r="BW37" s="50">
        <v>31</v>
      </c>
      <c r="BX37" s="50">
        <v>76</v>
      </c>
      <c r="BY37" s="50">
        <v>23</v>
      </c>
      <c r="BZ37" s="46">
        <f t="shared" si="5"/>
        <v>195</v>
      </c>
      <c r="CA37" s="50">
        <v>10</v>
      </c>
      <c r="CB37" s="50">
        <v>25</v>
      </c>
      <c r="CC37" s="50">
        <v>44</v>
      </c>
      <c r="CD37" s="50">
        <v>89</v>
      </c>
      <c r="CE37" s="50">
        <v>90</v>
      </c>
      <c r="CG37" s="49">
        <v>515</v>
      </c>
      <c r="CH37" s="49" t="s">
        <v>601</v>
      </c>
      <c r="CI37" s="50">
        <v>78</v>
      </c>
      <c r="CJ37" s="50">
        <v>41</v>
      </c>
      <c r="CK37" s="50">
        <v>74</v>
      </c>
      <c r="CL37" s="50">
        <v>10</v>
      </c>
      <c r="CM37" s="50">
        <v>11</v>
      </c>
      <c r="CN37" s="46">
        <f t="shared" si="6"/>
        <v>214</v>
      </c>
      <c r="CO37" s="50">
        <v>66</v>
      </c>
      <c r="CP37" s="50">
        <v>4</v>
      </c>
      <c r="CQ37" s="50">
        <v>20</v>
      </c>
      <c r="CR37" s="50">
        <v>13</v>
      </c>
      <c r="CS37" s="50">
        <v>57</v>
      </c>
    </row>
    <row r="38" spans="1:97" x14ac:dyDescent="0.2">
      <c r="A38" s="44">
        <v>2027</v>
      </c>
      <c r="B38" s="44" t="s">
        <v>617</v>
      </c>
      <c r="C38" s="45">
        <v>56</v>
      </c>
      <c r="D38" s="45">
        <v>27</v>
      </c>
      <c r="E38" s="45">
        <v>72</v>
      </c>
      <c r="F38" s="45">
        <v>12</v>
      </c>
      <c r="G38" s="45">
        <v>35</v>
      </c>
      <c r="H38" s="46">
        <f t="shared" si="0"/>
        <v>202</v>
      </c>
      <c r="I38" s="45">
        <v>25</v>
      </c>
      <c r="J38" s="45">
        <v>79</v>
      </c>
      <c r="K38" s="45">
        <v>75</v>
      </c>
      <c r="L38" s="45">
        <v>14</v>
      </c>
      <c r="M38" s="45">
        <v>46</v>
      </c>
      <c r="O38" s="44">
        <v>1820</v>
      </c>
      <c r="P38" s="44" t="s">
        <v>616</v>
      </c>
      <c r="Q38" s="45">
        <v>79</v>
      </c>
      <c r="R38" s="45">
        <v>50</v>
      </c>
      <c r="S38" s="45">
        <v>47</v>
      </c>
      <c r="T38" s="45">
        <v>82</v>
      </c>
      <c r="U38" s="45">
        <v>89</v>
      </c>
      <c r="V38" s="46">
        <f t="shared" si="1"/>
        <v>347</v>
      </c>
      <c r="W38" s="45">
        <v>12</v>
      </c>
      <c r="X38" s="45">
        <v>13</v>
      </c>
      <c r="Y38" s="45">
        <v>18</v>
      </c>
      <c r="Z38" s="45">
        <v>72</v>
      </c>
      <c r="AA38" s="45">
        <v>63</v>
      </c>
      <c r="AC38" s="44">
        <v>1611</v>
      </c>
      <c r="AD38" s="44" t="s">
        <v>613</v>
      </c>
      <c r="AE38" s="45">
        <v>41</v>
      </c>
      <c r="AF38" s="45">
        <v>83</v>
      </c>
      <c r="AG38" s="45">
        <v>81</v>
      </c>
      <c r="AH38" s="45">
        <v>27</v>
      </c>
      <c r="AI38" s="45">
        <v>33</v>
      </c>
      <c r="AJ38" s="46">
        <f t="shared" si="2"/>
        <v>265</v>
      </c>
      <c r="AK38" s="45">
        <v>49</v>
      </c>
      <c r="AL38" s="45">
        <v>57</v>
      </c>
      <c r="AM38" s="45">
        <v>58</v>
      </c>
      <c r="AN38" s="45">
        <v>61</v>
      </c>
      <c r="AO38" s="45">
        <v>86</v>
      </c>
      <c r="AQ38" s="44">
        <v>1037</v>
      </c>
      <c r="AR38" s="44" t="s">
        <v>613</v>
      </c>
      <c r="AS38" s="45">
        <v>38</v>
      </c>
      <c r="AT38" s="45">
        <v>89</v>
      </c>
      <c r="AU38" s="45">
        <v>72</v>
      </c>
      <c r="AV38" s="45">
        <v>13</v>
      </c>
      <c r="AW38" s="45">
        <v>36</v>
      </c>
      <c r="AX38" s="46">
        <f t="shared" si="3"/>
        <v>248</v>
      </c>
      <c r="AY38" s="45">
        <v>23</v>
      </c>
      <c r="AZ38" s="45">
        <v>9</v>
      </c>
      <c r="BA38" s="45">
        <v>30</v>
      </c>
      <c r="BB38" s="45">
        <v>73</v>
      </c>
      <c r="BC38" s="45">
        <v>12</v>
      </c>
      <c r="BE38" s="44">
        <v>933</v>
      </c>
      <c r="BF38" s="44" t="s">
        <v>616</v>
      </c>
      <c r="BG38" s="45">
        <v>52</v>
      </c>
      <c r="BH38" s="45">
        <v>58</v>
      </c>
      <c r="BI38" s="45">
        <v>45</v>
      </c>
      <c r="BJ38" s="45">
        <v>1</v>
      </c>
      <c r="BK38" s="45">
        <v>78</v>
      </c>
      <c r="BL38" s="46">
        <f t="shared" si="4"/>
        <v>234</v>
      </c>
      <c r="BM38" s="45">
        <v>5</v>
      </c>
      <c r="BN38" s="45">
        <v>82</v>
      </c>
      <c r="BO38" s="45">
        <v>2</v>
      </c>
      <c r="BP38" s="45">
        <v>3</v>
      </c>
      <c r="BQ38" s="45">
        <v>33</v>
      </c>
      <c r="BS38" s="44">
        <v>621</v>
      </c>
      <c r="BT38" s="44" t="s">
        <v>611</v>
      </c>
      <c r="BU38" s="45">
        <v>70</v>
      </c>
      <c r="BV38" s="45">
        <v>21</v>
      </c>
      <c r="BW38" s="45">
        <v>80</v>
      </c>
      <c r="BX38" s="45">
        <v>25</v>
      </c>
      <c r="BY38" s="45">
        <v>35</v>
      </c>
      <c r="BZ38" s="46">
        <f t="shared" si="5"/>
        <v>231</v>
      </c>
      <c r="CA38" s="45">
        <v>81</v>
      </c>
      <c r="CB38" s="45">
        <v>72</v>
      </c>
      <c r="CC38" s="45">
        <v>50</v>
      </c>
      <c r="CD38" s="45">
        <v>12</v>
      </c>
      <c r="CE38" s="45">
        <v>34</v>
      </c>
      <c r="CG38" s="44">
        <v>516</v>
      </c>
      <c r="CH38" s="44" t="s">
        <v>608</v>
      </c>
      <c r="CI38" s="45">
        <v>25</v>
      </c>
      <c r="CJ38" s="45">
        <v>26</v>
      </c>
      <c r="CK38" s="45">
        <v>58</v>
      </c>
      <c r="CL38" s="45">
        <v>6</v>
      </c>
      <c r="CM38" s="45">
        <v>88</v>
      </c>
      <c r="CN38" s="46">
        <f t="shared" si="6"/>
        <v>203</v>
      </c>
      <c r="CO38" s="45">
        <v>53</v>
      </c>
      <c r="CP38" s="45">
        <v>54</v>
      </c>
      <c r="CQ38" s="45">
        <v>4</v>
      </c>
      <c r="CR38" s="45">
        <v>16</v>
      </c>
      <c r="CS38" s="45">
        <v>51</v>
      </c>
    </row>
    <row r="39" spans="1:97" x14ac:dyDescent="0.2">
      <c r="A39" s="49">
        <v>2028</v>
      </c>
      <c r="B39" s="49" t="s">
        <v>624</v>
      </c>
      <c r="C39" s="50">
        <v>37</v>
      </c>
      <c r="D39" s="50">
        <v>31</v>
      </c>
      <c r="E39" s="50">
        <v>38</v>
      </c>
      <c r="F39" s="50">
        <v>10</v>
      </c>
      <c r="G39" s="50">
        <v>80</v>
      </c>
      <c r="H39" s="46">
        <f t="shared" si="0"/>
        <v>196</v>
      </c>
      <c r="I39" s="50">
        <v>71</v>
      </c>
      <c r="J39" s="50">
        <v>9</v>
      </c>
      <c r="K39" s="50">
        <v>12</v>
      </c>
      <c r="L39" s="50">
        <v>81</v>
      </c>
      <c r="M39" s="50">
        <v>13</v>
      </c>
      <c r="O39" s="49">
        <v>1821</v>
      </c>
      <c r="P39" s="49" t="s">
        <v>623</v>
      </c>
      <c r="Q39" s="50">
        <v>24</v>
      </c>
      <c r="R39" s="50">
        <v>19</v>
      </c>
      <c r="S39" s="50">
        <v>13</v>
      </c>
      <c r="T39" s="50">
        <v>59</v>
      </c>
      <c r="U39" s="50">
        <v>35</v>
      </c>
      <c r="V39" s="51">
        <f t="shared" si="1"/>
        <v>150</v>
      </c>
      <c r="W39" s="50">
        <v>6</v>
      </c>
      <c r="X39" s="50">
        <v>48</v>
      </c>
      <c r="Y39" s="50">
        <v>81</v>
      </c>
      <c r="Z39" s="50">
        <v>18</v>
      </c>
      <c r="AA39" s="50">
        <v>53</v>
      </c>
      <c r="AC39" s="49">
        <v>1612</v>
      </c>
      <c r="AD39" s="49" t="s">
        <v>620</v>
      </c>
      <c r="AE39" s="50">
        <v>36</v>
      </c>
      <c r="AF39" s="50">
        <v>6</v>
      </c>
      <c r="AG39" s="50">
        <v>37</v>
      </c>
      <c r="AH39" s="50">
        <v>71</v>
      </c>
      <c r="AI39" s="50">
        <v>1</v>
      </c>
      <c r="AJ39" s="51">
        <f t="shared" si="2"/>
        <v>151</v>
      </c>
      <c r="AK39" s="50">
        <v>10</v>
      </c>
      <c r="AL39" s="50">
        <v>21</v>
      </c>
      <c r="AM39" s="50">
        <v>74</v>
      </c>
      <c r="AN39" s="50">
        <v>83</v>
      </c>
      <c r="AO39" s="50">
        <v>41</v>
      </c>
      <c r="AQ39" s="49">
        <v>1038</v>
      </c>
      <c r="AR39" s="49" t="s">
        <v>620</v>
      </c>
      <c r="AS39" s="50">
        <v>64</v>
      </c>
      <c r="AT39" s="50">
        <v>47</v>
      </c>
      <c r="AU39" s="50">
        <v>68</v>
      </c>
      <c r="AV39" s="50">
        <v>90</v>
      </c>
      <c r="AW39" s="50">
        <v>10</v>
      </c>
      <c r="AX39" s="46">
        <f t="shared" si="3"/>
        <v>279</v>
      </c>
      <c r="AY39" s="50">
        <v>9</v>
      </c>
      <c r="AZ39" s="50">
        <v>71</v>
      </c>
      <c r="BA39" s="50">
        <v>11</v>
      </c>
      <c r="BB39" s="50">
        <v>37</v>
      </c>
      <c r="BC39" s="50">
        <v>31</v>
      </c>
      <c r="BE39" s="49">
        <v>934</v>
      </c>
      <c r="BF39" s="49" t="s">
        <v>623</v>
      </c>
      <c r="BG39" s="50">
        <v>69</v>
      </c>
      <c r="BH39" s="50">
        <v>34</v>
      </c>
      <c r="BI39" s="50">
        <v>44</v>
      </c>
      <c r="BJ39" s="50">
        <v>71</v>
      </c>
      <c r="BK39" s="50">
        <v>79</v>
      </c>
      <c r="BL39" s="46">
        <f t="shared" si="4"/>
        <v>297</v>
      </c>
      <c r="BM39" s="50">
        <v>36</v>
      </c>
      <c r="BN39" s="50">
        <v>49</v>
      </c>
      <c r="BO39" s="50">
        <v>4</v>
      </c>
      <c r="BP39" s="50">
        <v>42</v>
      </c>
      <c r="BQ39" s="50">
        <v>47</v>
      </c>
      <c r="BS39" s="49">
        <v>622</v>
      </c>
      <c r="BT39" s="49" t="s">
        <v>618</v>
      </c>
      <c r="BU39" s="50">
        <v>15</v>
      </c>
      <c r="BV39" s="50">
        <v>60</v>
      </c>
      <c r="BW39" s="50">
        <v>67</v>
      </c>
      <c r="BX39" s="50">
        <v>40</v>
      </c>
      <c r="BY39" s="50">
        <v>49</v>
      </c>
      <c r="BZ39" s="46">
        <f t="shared" si="5"/>
        <v>231</v>
      </c>
      <c r="CA39" s="50">
        <v>81</v>
      </c>
      <c r="CB39" s="50">
        <v>72</v>
      </c>
      <c r="CC39" s="50">
        <v>50</v>
      </c>
      <c r="CD39" s="50">
        <v>12</v>
      </c>
      <c r="CE39" s="50">
        <v>34</v>
      </c>
      <c r="CG39" s="49">
        <v>517</v>
      </c>
      <c r="CH39" s="49" t="s">
        <v>615</v>
      </c>
      <c r="CI39" s="50">
        <v>47</v>
      </c>
      <c r="CJ39" s="50">
        <v>31</v>
      </c>
      <c r="CK39" s="50">
        <v>59</v>
      </c>
      <c r="CL39" s="50">
        <v>82</v>
      </c>
      <c r="CM39" s="50">
        <v>67</v>
      </c>
      <c r="CN39" s="46">
        <f t="shared" si="6"/>
        <v>286</v>
      </c>
      <c r="CO39" s="50">
        <v>56</v>
      </c>
      <c r="CP39" s="50">
        <v>20</v>
      </c>
      <c r="CQ39" s="50">
        <v>51</v>
      </c>
      <c r="CR39" s="50">
        <v>71</v>
      </c>
      <c r="CS39" s="50">
        <v>37</v>
      </c>
    </row>
    <row r="40" spans="1:97" x14ac:dyDescent="0.2">
      <c r="A40" s="44">
        <v>2029</v>
      </c>
      <c r="B40" s="44" t="s">
        <v>631</v>
      </c>
      <c r="C40" s="45">
        <v>46</v>
      </c>
      <c r="D40" s="45">
        <v>73</v>
      </c>
      <c r="E40" s="45">
        <v>22</v>
      </c>
      <c r="F40" s="45">
        <v>63</v>
      </c>
      <c r="G40" s="45">
        <v>30</v>
      </c>
      <c r="H40" s="46">
        <f t="shared" si="0"/>
        <v>234</v>
      </c>
      <c r="I40" s="45">
        <v>88</v>
      </c>
      <c r="J40" s="45">
        <v>19</v>
      </c>
      <c r="K40" s="45">
        <v>52</v>
      </c>
      <c r="L40" s="45">
        <v>18</v>
      </c>
      <c r="M40" s="45">
        <v>10</v>
      </c>
      <c r="O40" s="44">
        <v>1822</v>
      </c>
      <c r="P40" s="44" t="s">
        <v>630</v>
      </c>
      <c r="Q40" s="45">
        <v>5</v>
      </c>
      <c r="R40" s="45">
        <v>74</v>
      </c>
      <c r="S40" s="45">
        <v>9</v>
      </c>
      <c r="T40" s="45">
        <v>6</v>
      </c>
      <c r="U40" s="45">
        <v>88</v>
      </c>
      <c r="V40" s="48">
        <f t="shared" si="1"/>
        <v>182</v>
      </c>
      <c r="W40" s="45">
        <v>22</v>
      </c>
      <c r="X40" s="45">
        <v>48</v>
      </c>
      <c r="Y40" s="45">
        <v>4</v>
      </c>
      <c r="Z40" s="45">
        <v>40</v>
      </c>
      <c r="AA40" s="45">
        <v>57</v>
      </c>
      <c r="AC40" s="44">
        <v>1613</v>
      </c>
      <c r="AD40" s="44" t="s">
        <v>627</v>
      </c>
      <c r="AE40" s="45">
        <v>87</v>
      </c>
      <c r="AF40" s="45">
        <v>78</v>
      </c>
      <c r="AG40" s="45">
        <v>40</v>
      </c>
      <c r="AH40" s="45">
        <v>88</v>
      </c>
      <c r="AI40" s="45">
        <v>57</v>
      </c>
      <c r="AJ40" s="46">
        <f t="shared" si="2"/>
        <v>350</v>
      </c>
      <c r="AK40" s="45">
        <v>29</v>
      </c>
      <c r="AL40" s="45">
        <v>80</v>
      </c>
      <c r="AM40" s="45">
        <v>50</v>
      </c>
      <c r="AN40" s="45">
        <v>86</v>
      </c>
      <c r="AO40" s="45">
        <v>12</v>
      </c>
      <c r="AQ40" s="44">
        <v>1039</v>
      </c>
      <c r="AR40" s="44" t="s">
        <v>627</v>
      </c>
      <c r="AS40" s="45">
        <v>83</v>
      </c>
      <c r="AT40" s="45">
        <v>15</v>
      </c>
      <c r="AU40" s="45">
        <v>47</v>
      </c>
      <c r="AV40" s="45">
        <v>55</v>
      </c>
      <c r="AW40" s="45">
        <v>32</v>
      </c>
      <c r="AX40" s="46">
        <f t="shared" si="3"/>
        <v>232</v>
      </c>
      <c r="AY40" s="45">
        <v>42</v>
      </c>
      <c r="AZ40" s="45">
        <v>53</v>
      </c>
      <c r="BA40" s="45">
        <v>61</v>
      </c>
      <c r="BB40" s="45">
        <v>67</v>
      </c>
      <c r="BC40" s="45">
        <v>30</v>
      </c>
      <c r="BE40" s="44">
        <v>935</v>
      </c>
      <c r="BF40" s="44" t="s">
        <v>630</v>
      </c>
      <c r="BG40" s="45">
        <v>17</v>
      </c>
      <c r="BH40" s="45">
        <v>44</v>
      </c>
      <c r="BI40" s="45">
        <v>43</v>
      </c>
      <c r="BJ40" s="45">
        <v>37</v>
      </c>
      <c r="BK40" s="45">
        <v>29</v>
      </c>
      <c r="BL40" s="48">
        <f t="shared" si="4"/>
        <v>170</v>
      </c>
      <c r="BM40" s="45">
        <v>6</v>
      </c>
      <c r="BN40" s="45">
        <v>89</v>
      </c>
      <c r="BO40" s="45">
        <v>70</v>
      </c>
      <c r="BP40" s="45">
        <v>59</v>
      </c>
      <c r="BQ40" s="45">
        <v>57</v>
      </c>
      <c r="BS40" s="44">
        <v>623</v>
      </c>
      <c r="BT40" s="44" t="s">
        <v>625</v>
      </c>
      <c r="BU40" s="45">
        <v>63</v>
      </c>
      <c r="BV40" s="45">
        <v>32</v>
      </c>
      <c r="BW40" s="45">
        <v>72</v>
      </c>
      <c r="BX40" s="45">
        <v>14</v>
      </c>
      <c r="BY40" s="45">
        <v>24</v>
      </c>
      <c r="BZ40" s="46">
        <f t="shared" si="5"/>
        <v>205</v>
      </c>
      <c r="CA40" s="45">
        <v>1</v>
      </c>
      <c r="CB40" s="45">
        <v>64</v>
      </c>
      <c r="CC40" s="45">
        <v>58</v>
      </c>
      <c r="CD40" s="45">
        <v>85</v>
      </c>
      <c r="CE40" s="45">
        <v>19</v>
      </c>
      <c r="CG40" s="44">
        <v>518</v>
      </c>
      <c r="CH40" s="44" t="s">
        <v>622</v>
      </c>
      <c r="CI40" s="45">
        <v>26</v>
      </c>
      <c r="CJ40" s="45">
        <v>32</v>
      </c>
      <c r="CK40" s="45">
        <v>35</v>
      </c>
      <c r="CL40" s="45">
        <v>39</v>
      </c>
      <c r="CM40" s="45">
        <v>86</v>
      </c>
      <c r="CN40" s="46">
        <f t="shared" si="6"/>
        <v>218</v>
      </c>
      <c r="CO40" s="45">
        <v>23</v>
      </c>
      <c r="CP40" s="45">
        <v>25</v>
      </c>
      <c r="CQ40" s="45">
        <v>5</v>
      </c>
      <c r="CR40" s="45">
        <v>22</v>
      </c>
      <c r="CS40" s="45">
        <v>73</v>
      </c>
    </row>
    <row r="41" spans="1:97" x14ac:dyDescent="0.2">
      <c r="A41" s="49">
        <v>2030</v>
      </c>
      <c r="B41" s="49" t="s">
        <v>638</v>
      </c>
      <c r="C41" s="50">
        <v>44</v>
      </c>
      <c r="D41" s="50">
        <v>62</v>
      </c>
      <c r="E41" s="50">
        <v>10</v>
      </c>
      <c r="F41" s="50">
        <v>19</v>
      </c>
      <c r="G41" s="50">
        <v>72</v>
      </c>
      <c r="H41" s="46">
        <f t="shared" si="0"/>
        <v>207</v>
      </c>
      <c r="I41" s="50">
        <v>87</v>
      </c>
      <c r="J41" s="50">
        <v>90</v>
      </c>
      <c r="K41" s="50">
        <v>58</v>
      </c>
      <c r="L41" s="50">
        <v>2</v>
      </c>
      <c r="M41" s="50">
        <v>84</v>
      </c>
      <c r="O41" s="49">
        <v>1823</v>
      </c>
      <c r="P41" s="49" t="s">
        <v>637</v>
      </c>
      <c r="Q41" s="50">
        <v>65</v>
      </c>
      <c r="R41" s="50">
        <v>58</v>
      </c>
      <c r="S41" s="50">
        <v>12</v>
      </c>
      <c r="T41" s="50">
        <v>78</v>
      </c>
      <c r="U41" s="50">
        <v>64</v>
      </c>
      <c r="V41" s="46">
        <f t="shared" si="1"/>
        <v>277</v>
      </c>
      <c r="W41" s="50">
        <v>83</v>
      </c>
      <c r="X41" s="50">
        <v>56</v>
      </c>
      <c r="Y41" s="50">
        <v>88</v>
      </c>
      <c r="Z41" s="50">
        <v>80</v>
      </c>
      <c r="AA41" s="50">
        <v>89</v>
      </c>
      <c r="AC41" s="49">
        <v>1614</v>
      </c>
      <c r="AD41" s="49" t="s">
        <v>634</v>
      </c>
      <c r="AE41" s="50">
        <v>19</v>
      </c>
      <c r="AF41" s="50">
        <v>50</v>
      </c>
      <c r="AG41" s="50">
        <v>16</v>
      </c>
      <c r="AH41" s="50">
        <v>41</v>
      </c>
      <c r="AI41" s="50">
        <v>75</v>
      </c>
      <c r="AJ41" s="46">
        <f t="shared" si="2"/>
        <v>201</v>
      </c>
      <c r="AK41" s="50">
        <v>36</v>
      </c>
      <c r="AL41" s="50">
        <v>49</v>
      </c>
      <c r="AM41" s="50">
        <v>86</v>
      </c>
      <c r="AN41" s="50">
        <v>56</v>
      </c>
      <c r="AO41" s="50">
        <v>3</v>
      </c>
      <c r="AQ41" s="49">
        <v>1040</v>
      </c>
      <c r="AR41" s="49" t="s">
        <v>634</v>
      </c>
      <c r="AS41" s="50">
        <v>23</v>
      </c>
      <c r="AT41" s="50">
        <v>26</v>
      </c>
      <c r="AU41" s="50">
        <v>21</v>
      </c>
      <c r="AV41" s="50">
        <v>42</v>
      </c>
      <c r="AW41" s="50">
        <v>85</v>
      </c>
      <c r="AX41" s="46">
        <f t="shared" si="3"/>
        <v>197</v>
      </c>
      <c r="AY41" s="50">
        <v>83</v>
      </c>
      <c r="AZ41" s="50">
        <v>37</v>
      </c>
      <c r="BA41" s="50">
        <v>11</v>
      </c>
      <c r="BB41" s="50">
        <v>33</v>
      </c>
      <c r="BC41" s="50">
        <v>84</v>
      </c>
      <c r="BE41" s="49">
        <v>936</v>
      </c>
      <c r="BF41" s="49" t="s">
        <v>637</v>
      </c>
      <c r="BG41" s="50">
        <v>28</v>
      </c>
      <c r="BH41" s="50">
        <v>37</v>
      </c>
      <c r="BI41" s="50">
        <v>58</v>
      </c>
      <c r="BJ41" s="50">
        <v>30</v>
      </c>
      <c r="BK41" s="47">
        <v>42</v>
      </c>
      <c r="BL41" s="46">
        <f t="shared" si="4"/>
        <v>195</v>
      </c>
      <c r="BM41" s="50">
        <v>82</v>
      </c>
      <c r="BN41" s="50">
        <v>40</v>
      </c>
      <c r="BO41" s="50">
        <v>90</v>
      </c>
      <c r="BP41" s="47">
        <v>24</v>
      </c>
      <c r="BQ41" s="47">
        <v>57</v>
      </c>
      <c r="BS41" s="49">
        <v>624</v>
      </c>
      <c r="BT41" s="49" t="s">
        <v>632</v>
      </c>
      <c r="BU41" s="50">
        <v>40</v>
      </c>
      <c r="BV41" s="50">
        <v>14</v>
      </c>
      <c r="BW41" s="50">
        <v>7</v>
      </c>
      <c r="BX41" s="50">
        <v>10</v>
      </c>
      <c r="BY41" s="50">
        <v>81</v>
      </c>
      <c r="BZ41" s="51">
        <f t="shared" si="5"/>
        <v>152</v>
      </c>
      <c r="CA41" s="50">
        <v>46</v>
      </c>
      <c r="CB41" s="50">
        <v>5</v>
      </c>
      <c r="CC41" s="50">
        <v>70</v>
      </c>
      <c r="CD41" s="50">
        <v>28</v>
      </c>
      <c r="CE41" s="50">
        <v>55</v>
      </c>
      <c r="CG41" s="49">
        <v>519</v>
      </c>
      <c r="CH41" s="49" t="s">
        <v>629</v>
      </c>
      <c r="CI41" s="50">
        <v>74</v>
      </c>
      <c r="CJ41" s="50">
        <v>17</v>
      </c>
      <c r="CK41" s="50">
        <v>4</v>
      </c>
      <c r="CL41" s="50">
        <v>88</v>
      </c>
      <c r="CM41" s="50">
        <v>53</v>
      </c>
      <c r="CN41" s="46">
        <f t="shared" si="6"/>
        <v>236</v>
      </c>
      <c r="CO41" s="50">
        <v>39</v>
      </c>
      <c r="CP41" s="50">
        <v>21</v>
      </c>
      <c r="CQ41" s="50">
        <v>8</v>
      </c>
      <c r="CR41" s="50">
        <v>30</v>
      </c>
      <c r="CS41" s="50">
        <v>19</v>
      </c>
    </row>
    <row r="42" spans="1:97" x14ac:dyDescent="0.2">
      <c r="A42" s="44">
        <v>2031</v>
      </c>
      <c r="B42" s="44" t="s">
        <v>645</v>
      </c>
      <c r="C42" s="45">
        <v>68</v>
      </c>
      <c r="D42" s="45">
        <v>47</v>
      </c>
      <c r="E42" s="45">
        <v>67</v>
      </c>
      <c r="F42" s="45">
        <v>78</v>
      </c>
      <c r="G42" s="45">
        <v>66</v>
      </c>
      <c r="H42" s="46">
        <f t="shared" si="0"/>
        <v>326</v>
      </c>
      <c r="I42" s="45">
        <v>27</v>
      </c>
      <c r="J42" s="45">
        <v>46</v>
      </c>
      <c r="K42" s="45">
        <v>20</v>
      </c>
      <c r="L42" s="45">
        <v>55</v>
      </c>
      <c r="M42" s="45">
        <v>73</v>
      </c>
      <c r="O42" s="44">
        <v>1824</v>
      </c>
      <c r="P42" s="44" t="s">
        <v>644</v>
      </c>
      <c r="Q42" s="45">
        <v>27</v>
      </c>
      <c r="R42" s="45">
        <v>36</v>
      </c>
      <c r="S42" s="45">
        <v>17</v>
      </c>
      <c r="T42" s="45">
        <v>4</v>
      </c>
      <c r="U42" s="45">
        <v>26</v>
      </c>
      <c r="V42" s="48">
        <f t="shared" si="1"/>
        <v>110</v>
      </c>
      <c r="W42" s="45">
        <v>90</v>
      </c>
      <c r="X42" s="45">
        <v>53</v>
      </c>
      <c r="Y42" s="45">
        <v>45</v>
      </c>
      <c r="Z42" s="45">
        <v>13</v>
      </c>
      <c r="AA42" s="45">
        <v>43</v>
      </c>
      <c r="AC42" s="44">
        <v>1615</v>
      </c>
      <c r="AD42" s="44" t="s">
        <v>641</v>
      </c>
      <c r="AE42" s="45">
        <v>17</v>
      </c>
      <c r="AF42" s="45">
        <v>72</v>
      </c>
      <c r="AG42" s="45">
        <v>81</v>
      </c>
      <c r="AH42" s="45">
        <v>9</v>
      </c>
      <c r="AI42" s="45">
        <v>64</v>
      </c>
      <c r="AJ42" s="46">
        <f t="shared" si="2"/>
        <v>243</v>
      </c>
      <c r="AK42" s="45">
        <v>79</v>
      </c>
      <c r="AL42" s="45">
        <v>46</v>
      </c>
      <c r="AM42" s="45">
        <v>52</v>
      </c>
      <c r="AN42" s="45">
        <v>80</v>
      </c>
      <c r="AO42" s="45">
        <v>47</v>
      </c>
      <c r="AQ42" s="44">
        <v>1041</v>
      </c>
      <c r="AR42" s="44" t="s">
        <v>641</v>
      </c>
      <c r="AS42" s="45">
        <v>67</v>
      </c>
      <c r="AT42" s="45">
        <v>77</v>
      </c>
      <c r="AU42" s="45">
        <v>69</v>
      </c>
      <c r="AV42" s="45">
        <v>15</v>
      </c>
      <c r="AW42" s="45">
        <v>20</v>
      </c>
      <c r="AX42" s="46">
        <f t="shared" si="3"/>
        <v>248</v>
      </c>
      <c r="AY42" s="45">
        <v>4</v>
      </c>
      <c r="AZ42" s="45">
        <v>1</v>
      </c>
      <c r="BA42" s="45">
        <v>51</v>
      </c>
      <c r="BB42" s="45">
        <v>78</v>
      </c>
      <c r="BC42" s="45">
        <v>36</v>
      </c>
      <c r="BE42" s="44">
        <v>937</v>
      </c>
      <c r="BF42" s="44" t="s">
        <v>644</v>
      </c>
      <c r="BG42" s="45">
        <v>68</v>
      </c>
      <c r="BH42" s="45">
        <v>73</v>
      </c>
      <c r="BI42" s="45">
        <v>63</v>
      </c>
      <c r="BJ42" s="45">
        <v>76</v>
      </c>
      <c r="BK42" s="45">
        <v>65</v>
      </c>
      <c r="BL42" s="46">
        <f t="shared" si="4"/>
        <v>345</v>
      </c>
      <c r="BM42" s="45">
        <v>8</v>
      </c>
      <c r="BN42" s="45">
        <v>11</v>
      </c>
      <c r="BO42" s="45">
        <v>79</v>
      </c>
      <c r="BP42" s="45">
        <v>39</v>
      </c>
      <c r="BQ42" s="45">
        <v>61</v>
      </c>
      <c r="BS42" s="44">
        <v>625</v>
      </c>
      <c r="BT42" s="44" t="s">
        <v>639</v>
      </c>
      <c r="BU42" s="45">
        <v>32</v>
      </c>
      <c r="BV42" s="45">
        <v>72</v>
      </c>
      <c r="BW42" s="45">
        <v>88</v>
      </c>
      <c r="BX42" s="45">
        <v>30</v>
      </c>
      <c r="BY42" s="45">
        <v>56</v>
      </c>
      <c r="BZ42" s="46">
        <f t="shared" si="5"/>
        <v>278</v>
      </c>
      <c r="CA42" s="45">
        <v>68</v>
      </c>
      <c r="CB42" s="45">
        <v>31</v>
      </c>
      <c r="CC42" s="45">
        <v>84</v>
      </c>
      <c r="CD42" s="45">
        <v>57</v>
      </c>
      <c r="CE42" s="45">
        <v>18</v>
      </c>
      <c r="CG42" s="44">
        <v>520</v>
      </c>
      <c r="CH42" s="44" t="s">
        <v>636</v>
      </c>
      <c r="CI42" s="45">
        <v>7</v>
      </c>
      <c r="CJ42" s="45">
        <v>69</v>
      </c>
      <c r="CK42" s="45">
        <v>43</v>
      </c>
      <c r="CL42" s="45">
        <v>48</v>
      </c>
      <c r="CM42" s="45">
        <v>53</v>
      </c>
      <c r="CN42" s="46">
        <f t="shared" si="6"/>
        <v>220</v>
      </c>
      <c r="CO42" s="45">
        <v>67</v>
      </c>
      <c r="CP42" s="45">
        <v>82</v>
      </c>
      <c r="CQ42" s="45">
        <v>70</v>
      </c>
      <c r="CR42" s="45">
        <v>47</v>
      </c>
      <c r="CS42" s="45">
        <v>37</v>
      </c>
    </row>
    <row r="43" spans="1:97" x14ac:dyDescent="0.2">
      <c r="A43" s="49">
        <v>2032</v>
      </c>
      <c r="B43" s="49" t="s">
        <v>652</v>
      </c>
      <c r="C43" s="50">
        <v>51</v>
      </c>
      <c r="D43" s="50">
        <v>73</v>
      </c>
      <c r="E43" s="50">
        <v>12</v>
      </c>
      <c r="F43" s="50">
        <v>27</v>
      </c>
      <c r="G43" s="50">
        <v>32</v>
      </c>
      <c r="H43" s="46">
        <f t="shared" si="0"/>
        <v>195</v>
      </c>
      <c r="I43" s="50">
        <v>38</v>
      </c>
      <c r="J43" s="50">
        <v>33</v>
      </c>
      <c r="K43" s="50">
        <v>86</v>
      </c>
      <c r="L43" s="50">
        <v>81</v>
      </c>
      <c r="M43" s="50">
        <v>68</v>
      </c>
      <c r="O43" s="49">
        <v>1825</v>
      </c>
      <c r="P43" s="49" t="s">
        <v>651</v>
      </c>
      <c r="Q43" s="50">
        <v>28</v>
      </c>
      <c r="R43" s="50">
        <v>41</v>
      </c>
      <c r="S43" s="50">
        <v>35</v>
      </c>
      <c r="T43" s="50">
        <v>2</v>
      </c>
      <c r="U43" s="50">
        <v>51</v>
      </c>
      <c r="V43" s="51">
        <f t="shared" si="1"/>
        <v>157</v>
      </c>
      <c r="W43" s="50">
        <v>43</v>
      </c>
      <c r="X43" s="50">
        <v>71</v>
      </c>
      <c r="Y43" s="50">
        <v>44</v>
      </c>
      <c r="Z43" s="50">
        <v>24</v>
      </c>
      <c r="AA43" s="50">
        <v>34</v>
      </c>
      <c r="AC43" s="49">
        <v>1616</v>
      </c>
      <c r="AD43" s="49" t="s">
        <v>648</v>
      </c>
      <c r="AE43" s="50">
        <v>78</v>
      </c>
      <c r="AF43" s="50">
        <v>66</v>
      </c>
      <c r="AG43" s="50">
        <v>67</v>
      </c>
      <c r="AH43" s="50">
        <v>9</v>
      </c>
      <c r="AI43" s="50">
        <v>83</v>
      </c>
      <c r="AJ43" s="46">
        <f t="shared" si="2"/>
        <v>303</v>
      </c>
      <c r="AK43" s="50">
        <v>70</v>
      </c>
      <c r="AL43" s="50">
        <v>58</v>
      </c>
      <c r="AM43" s="50">
        <v>33</v>
      </c>
      <c r="AN43" s="50">
        <v>18</v>
      </c>
      <c r="AO43" s="50">
        <v>62</v>
      </c>
      <c r="AQ43" s="49">
        <v>1042</v>
      </c>
      <c r="AR43" s="49" t="s">
        <v>648</v>
      </c>
      <c r="AS43" s="50">
        <v>13</v>
      </c>
      <c r="AT43" s="50">
        <v>21</v>
      </c>
      <c r="AU43" s="50">
        <v>74</v>
      </c>
      <c r="AV43" s="50">
        <v>52</v>
      </c>
      <c r="AW43" s="50">
        <v>8</v>
      </c>
      <c r="AX43" s="51">
        <f t="shared" si="3"/>
        <v>168</v>
      </c>
      <c r="AY43" s="50">
        <v>18</v>
      </c>
      <c r="AZ43" s="50">
        <v>72</v>
      </c>
      <c r="BA43" s="50">
        <v>51</v>
      </c>
      <c r="BB43" s="50">
        <v>17</v>
      </c>
      <c r="BC43" s="50">
        <v>64</v>
      </c>
      <c r="BE43" s="49">
        <v>938</v>
      </c>
      <c r="BF43" s="49" t="s">
        <v>651</v>
      </c>
      <c r="BG43" s="50">
        <v>38</v>
      </c>
      <c r="BH43" s="50">
        <v>68</v>
      </c>
      <c r="BI43" s="50">
        <v>11</v>
      </c>
      <c r="BJ43" s="50">
        <v>80</v>
      </c>
      <c r="BK43" s="50">
        <v>60</v>
      </c>
      <c r="BL43" s="46">
        <f t="shared" si="4"/>
        <v>257</v>
      </c>
      <c r="BM43" s="50">
        <v>39</v>
      </c>
      <c r="BN43" s="50">
        <v>4</v>
      </c>
      <c r="BO43" s="50">
        <v>1</v>
      </c>
      <c r="BP43" s="50">
        <v>42</v>
      </c>
      <c r="BQ43" s="50">
        <v>74</v>
      </c>
      <c r="BS43" s="49">
        <v>626</v>
      </c>
      <c r="BT43" s="49" t="s">
        <v>646</v>
      </c>
      <c r="BU43" s="50">
        <v>16</v>
      </c>
      <c r="BV43" s="50">
        <v>9</v>
      </c>
      <c r="BW43" s="50">
        <v>64</v>
      </c>
      <c r="BX43" s="50">
        <v>63</v>
      </c>
      <c r="BY43" s="50">
        <v>34</v>
      </c>
      <c r="BZ43" s="46">
        <f t="shared" si="5"/>
        <v>186</v>
      </c>
      <c r="CA43" s="50">
        <v>62</v>
      </c>
      <c r="CB43" s="50">
        <v>87</v>
      </c>
      <c r="CC43" s="50">
        <v>83</v>
      </c>
      <c r="CD43" s="50">
        <v>70</v>
      </c>
      <c r="CE43" s="50">
        <v>36</v>
      </c>
      <c r="CG43" s="49">
        <v>521</v>
      </c>
      <c r="CH43" s="49" t="s">
        <v>643</v>
      </c>
      <c r="CI43" s="50">
        <v>9</v>
      </c>
      <c r="CJ43" s="50">
        <v>23</v>
      </c>
      <c r="CK43" s="50">
        <v>39</v>
      </c>
      <c r="CL43" s="50">
        <v>85</v>
      </c>
      <c r="CM43" s="50">
        <v>40</v>
      </c>
      <c r="CN43" s="46">
        <f t="shared" si="6"/>
        <v>196</v>
      </c>
      <c r="CO43" s="50">
        <v>32</v>
      </c>
      <c r="CP43" s="50">
        <v>65</v>
      </c>
      <c r="CQ43" s="50">
        <v>67</v>
      </c>
      <c r="CR43" s="50">
        <v>48</v>
      </c>
      <c r="CS43" s="50">
        <v>78</v>
      </c>
    </row>
    <row r="44" spans="1:97" x14ac:dyDescent="0.2">
      <c r="A44" s="44">
        <v>2033</v>
      </c>
      <c r="B44" s="44" t="s">
        <v>374</v>
      </c>
      <c r="C44" s="45">
        <v>50</v>
      </c>
      <c r="D44" s="45">
        <v>26</v>
      </c>
      <c r="E44" s="45">
        <v>75</v>
      </c>
      <c r="F44" s="45">
        <v>22</v>
      </c>
      <c r="G44" s="45">
        <v>70</v>
      </c>
      <c r="H44" s="46">
        <f t="shared" si="0"/>
        <v>243</v>
      </c>
      <c r="I44" s="45">
        <v>36</v>
      </c>
      <c r="J44" s="45">
        <v>27</v>
      </c>
      <c r="K44" s="45">
        <v>29</v>
      </c>
      <c r="L44" s="45">
        <v>64</v>
      </c>
      <c r="M44" s="45">
        <v>73</v>
      </c>
      <c r="O44" s="44">
        <v>1826</v>
      </c>
      <c r="P44" s="44" t="s">
        <v>658</v>
      </c>
      <c r="Q44" s="45">
        <v>18</v>
      </c>
      <c r="R44" s="45">
        <v>45</v>
      </c>
      <c r="S44" s="45">
        <v>81</v>
      </c>
      <c r="T44" s="45">
        <v>39</v>
      </c>
      <c r="U44" s="45">
        <v>23</v>
      </c>
      <c r="V44" s="46">
        <f t="shared" si="1"/>
        <v>206</v>
      </c>
      <c r="W44" s="45">
        <v>21</v>
      </c>
      <c r="X44" s="45">
        <v>63</v>
      </c>
      <c r="Y44" s="45">
        <v>25</v>
      </c>
      <c r="Z44" s="45">
        <v>77</v>
      </c>
      <c r="AA44" s="45">
        <v>70</v>
      </c>
      <c r="AC44" s="44">
        <v>1617</v>
      </c>
      <c r="AD44" s="44" t="s">
        <v>655</v>
      </c>
      <c r="AE44" s="45">
        <v>61</v>
      </c>
      <c r="AF44" s="45">
        <v>64</v>
      </c>
      <c r="AG44" s="45">
        <v>78</v>
      </c>
      <c r="AH44" s="45">
        <v>12</v>
      </c>
      <c r="AI44" s="45">
        <v>23</v>
      </c>
      <c r="AJ44" s="46">
        <f t="shared" si="2"/>
        <v>238</v>
      </c>
      <c r="AK44" s="45">
        <v>87</v>
      </c>
      <c r="AL44" s="45">
        <v>15</v>
      </c>
      <c r="AM44" s="45">
        <v>19</v>
      </c>
      <c r="AN44" s="45">
        <v>70</v>
      </c>
      <c r="AO44" s="45">
        <v>5</v>
      </c>
      <c r="AQ44" s="44">
        <v>1043</v>
      </c>
      <c r="AR44" s="44" t="s">
        <v>655</v>
      </c>
      <c r="AS44" s="45">
        <v>65</v>
      </c>
      <c r="AT44" s="45">
        <v>71</v>
      </c>
      <c r="AU44" s="45">
        <v>55</v>
      </c>
      <c r="AV44" s="45">
        <v>87</v>
      </c>
      <c r="AW44" s="45">
        <v>1</v>
      </c>
      <c r="AX44" s="46">
        <f t="shared" si="3"/>
        <v>279</v>
      </c>
      <c r="AY44" s="45">
        <v>3</v>
      </c>
      <c r="AZ44" s="45">
        <v>18</v>
      </c>
      <c r="BA44" s="45">
        <v>56</v>
      </c>
      <c r="BB44" s="45">
        <v>9</v>
      </c>
      <c r="BC44" s="45">
        <v>33</v>
      </c>
      <c r="BE44" s="44">
        <v>939</v>
      </c>
      <c r="BF44" s="44" t="s">
        <v>658</v>
      </c>
      <c r="BG44" s="45">
        <v>6</v>
      </c>
      <c r="BH44" s="45">
        <v>32</v>
      </c>
      <c r="BI44" s="45">
        <v>26</v>
      </c>
      <c r="BJ44" s="45">
        <v>60</v>
      </c>
      <c r="BK44" s="45">
        <v>41</v>
      </c>
      <c r="BL44" s="48">
        <f t="shared" si="4"/>
        <v>165</v>
      </c>
      <c r="BM44" s="45">
        <v>76</v>
      </c>
      <c r="BN44" s="45">
        <v>59</v>
      </c>
      <c r="BO44" s="45">
        <v>38</v>
      </c>
      <c r="BP44" s="45">
        <v>5</v>
      </c>
      <c r="BQ44" s="45">
        <v>72</v>
      </c>
      <c r="BS44" s="44">
        <v>627</v>
      </c>
      <c r="BT44" s="44" t="s">
        <v>653</v>
      </c>
      <c r="BU44" s="45">
        <v>67</v>
      </c>
      <c r="BV44" s="45">
        <v>1</v>
      </c>
      <c r="BW44" s="45">
        <v>2</v>
      </c>
      <c r="BX44" s="45">
        <v>14</v>
      </c>
      <c r="BY44" s="45">
        <v>49</v>
      </c>
      <c r="BZ44" s="48">
        <f t="shared" si="5"/>
        <v>133</v>
      </c>
      <c r="CA44" s="45">
        <v>78</v>
      </c>
      <c r="CB44" s="45">
        <v>82</v>
      </c>
      <c r="CC44" s="45">
        <v>36</v>
      </c>
      <c r="CD44" s="45">
        <v>74</v>
      </c>
      <c r="CE44" s="45">
        <v>88</v>
      </c>
      <c r="CG44" s="44">
        <v>522</v>
      </c>
      <c r="CH44" s="44" t="s">
        <v>650</v>
      </c>
      <c r="CI44" s="45">
        <v>18</v>
      </c>
      <c r="CJ44" s="45">
        <v>74</v>
      </c>
      <c r="CK44" s="45">
        <v>22</v>
      </c>
      <c r="CL44" s="45">
        <v>19</v>
      </c>
      <c r="CM44" s="45">
        <v>1</v>
      </c>
      <c r="CN44" s="48">
        <f t="shared" si="6"/>
        <v>134</v>
      </c>
      <c r="CO44" s="45">
        <v>33</v>
      </c>
      <c r="CP44" s="45">
        <v>81</v>
      </c>
      <c r="CQ44" s="45">
        <v>80</v>
      </c>
      <c r="CR44" s="45">
        <v>6</v>
      </c>
      <c r="CS44" s="45">
        <v>71</v>
      </c>
    </row>
    <row r="45" spans="1:97" x14ac:dyDescent="0.2">
      <c r="A45" s="49">
        <v>2034</v>
      </c>
      <c r="B45" s="49" t="s">
        <v>382</v>
      </c>
      <c r="C45" s="50">
        <v>20</v>
      </c>
      <c r="D45" s="50">
        <v>28</v>
      </c>
      <c r="E45" s="50">
        <v>25</v>
      </c>
      <c r="F45" s="50">
        <v>14</v>
      </c>
      <c r="G45" s="50">
        <v>31</v>
      </c>
      <c r="H45" s="51">
        <f t="shared" si="0"/>
        <v>118</v>
      </c>
      <c r="I45" s="50">
        <v>58</v>
      </c>
      <c r="J45" s="50">
        <v>18</v>
      </c>
      <c r="K45" s="50">
        <v>42</v>
      </c>
      <c r="L45" s="50">
        <v>55</v>
      </c>
      <c r="M45" s="50">
        <v>15</v>
      </c>
      <c r="O45" s="49">
        <v>1827</v>
      </c>
      <c r="P45" s="49" t="s">
        <v>664</v>
      </c>
      <c r="Q45" s="50">
        <v>45</v>
      </c>
      <c r="R45" s="50">
        <v>5</v>
      </c>
      <c r="S45" s="50">
        <v>75</v>
      </c>
      <c r="T45" s="50">
        <v>37</v>
      </c>
      <c r="U45" s="50">
        <v>39</v>
      </c>
      <c r="V45" s="46">
        <f t="shared" si="1"/>
        <v>201</v>
      </c>
      <c r="W45" s="50">
        <v>64</v>
      </c>
      <c r="X45" s="50">
        <v>67</v>
      </c>
      <c r="Y45" s="50">
        <v>22</v>
      </c>
      <c r="Z45" s="50">
        <v>46</v>
      </c>
      <c r="AA45" s="50">
        <v>18</v>
      </c>
      <c r="AC45" s="49">
        <v>1618</v>
      </c>
      <c r="AD45" s="49" t="s">
        <v>661</v>
      </c>
      <c r="AE45" s="50">
        <v>19</v>
      </c>
      <c r="AF45" s="50">
        <v>28</v>
      </c>
      <c r="AG45" s="50">
        <v>27</v>
      </c>
      <c r="AH45" s="50">
        <v>17</v>
      </c>
      <c r="AI45" s="50">
        <v>85</v>
      </c>
      <c r="AJ45" s="51">
        <f t="shared" si="2"/>
        <v>176</v>
      </c>
      <c r="AK45" s="50">
        <v>45</v>
      </c>
      <c r="AL45" s="50">
        <v>61</v>
      </c>
      <c r="AM45" s="50">
        <v>53</v>
      </c>
      <c r="AN45" s="50">
        <v>49</v>
      </c>
      <c r="AO45" s="50">
        <v>36</v>
      </c>
      <c r="AQ45" s="49">
        <v>1044</v>
      </c>
      <c r="AR45" s="49" t="s">
        <v>661</v>
      </c>
      <c r="AS45" s="50">
        <v>44</v>
      </c>
      <c r="AT45" s="50">
        <v>18</v>
      </c>
      <c r="AU45" s="50">
        <v>71</v>
      </c>
      <c r="AV45" s="50">
        <v>83</v>
      </c>
      <c r="AW45" s="50">
        <v>5</v>
      </c>
      <c r="AX45" s="46">
        <f t="shared" si="3"/>
        <v>221</v>
      </c>
      <c r="AY45" s="50">
        <v>52</v>
      </c>
      <c r="AZ45" s="50">
        <v>50</v>
      </c>
      <c r="BA45" s="50">
        <v>7</v>
      </c>
      <c r="BB45" s="50">
        <v>37</v>
      </c>
      <c r="BC45" s="50">
        <v>74</v>
      </c>
      <c r="BE45" s="49">
        <v>940</v>
      </c>
      <c r="BF45" s="49" t="s">
        <v>664</v>
      </c>
      <c r="BG45" s="50">
        <v>34</v>
      </c>
      <c r="BH45" s="50">
        <v>85</v>
      </c>
      <c r="BI45" s="50">
        <v>75</v>
      </c>
      <c r="BJ45" s="50">
        <v>27</v>
      </c>
      <c r="BK45" s="50">
        <v>87</v>
      </c>
      <c r="BL45" s="46">
        <f t="shared" si="4"/>
        <v>308</v>
      </c>
      <c r="BM45" s="50">
        <v>36</v>
      </c>
      <c r="BN45" s="50">
        <v>26</v>
      </c>
      <c r="BO45" s="50">
        <v>43</v>
      </c>
      <c r="BP45" s="50">
        <v>68</v>
      </c>
      <c r="BQ45" s="50">
        <v>59</v>
      </c>
      <c r="BS45" s="49">
        <v>628</v>
      </c>
      <c r="BT45" s="49" t="s">
        <v>659</v>
      </c>
      <c r="BU45" s="50">
        <v>47</v>
      </c>
      <c r="BV45" s="50">
        <v>54</v>
      </c>
      <c r="BW45" s="50">
        <v>90</v>
      </c>
      <c r="BX45" s="50">
        <v>48</v>
      </c>
      <c r="BY45" s="50">
        <v>67</v>
      </c>
      <c r="BZ45" s="46">
        <f t="shared" si="5"/>
        <v>306</v>
      </c>
      <c r="CA45" s="50">
        <v>64</v>
      </c>
      <c r="CB45" s="50">
        <v>50</v>
      </c>
      <c r="CC45" s="50">
        <v>71</v>
      </c>
      <c r="CD45" s="50">
        <v>9</v>
      </c>
      <c r="CE45" s="50">
        <v>26</v>
      </c>
      <c r="CG45" s="49">
        <v>523</v>
      </c>
      <c r="CH45" s="49" t="s">
        <v>657</v>
      </c>
      <c r="CI45" s="50">
        <v>84</v>
      </c>
      <c r="CJ45" s="50">
        <v>54</v>
      </c>
      <c r="CK45" s="50">
        <v>20</v>
      </c>
      <c r="CL45" s="50">
        <v>22</v>
      </c>
      <c r="CM45" s="50">
        <v>5</v>
      </c>
      <c r="CN45" s="46">
        <f t="shared" si="6"/>
        <v>185</v>
      </c>
      <c r="CO45" s="50">
        <v>50</v>
      </c>
      <c r="CP45" s="50">
        <v>73</v>
      </c>
      <c r="CQ45" s="50">
        <v>67</v>
      </c>
      <c r="CR45" s="50">
        <v>45</v>
      </c>
      <c r="CS45" s="50">
        <v>49</v>
      </c>
    </row>
    <row r="46" spans="1:97" x14ac:dyDescent="0.2">
      <c r="A46" s="44">
        <v>2035</v>
      </c>
      <c r="B46" s="44" t="s">
        <v>390</v>
      </c>
      <c r="C46" s="45">
        <v>79</v>
      </c>
      <c r="D46" s="45">
        <v>83</v>
      </c>
      <c r="E46" s="45">
        <v>31</v>
      </c>
      <c r="F46" s="45">
        <v>49</v>
      </c>
      <c r="G46" s="45">
        <v>60</v>
      </c>
      <c r="H46" s="46">
        <f t="shared" si="0"/>
        <v>302</v>
      </c>
      <c r="I46" s="45">
        <v>23</v>
      </c>
      <c r="J46" s="45">
        <v>47</v>
      </c>
      <c r="K46" s="45">
        <v>4</v>
      </c>
      <c r="L46" s="45">
        <v>82</v>
      </c>
      <c r="M46" s="45">
        <v>37</v>
      </c>
      <c r="O46" s="44">
        <v>1828</v>
      </c>
      <c r="P46" s="44" t="s">
        <v>671</v>
      </c>
      <c r="Q46" s="45">
        <v>82</v>
      </c>
      <c r="R46" s="45">
        <v>15</v>
      </c>
      <c r="S46" s="45">
        <v>60</v>
      </c>
      <c r="T46" s="45">
        <v>17</v>
      </c>
      <c r="U46" s="45">
        <v>23</v>
      </c>
      <c r="V46" s="46">
        <f t="shared" si="1"/>
        <v>197</v>
      </c>
      <c r="W46" s="45">
        <v>88</v>
      </c>
      <c r="X46" s="45">
        <v>70</v>
      </c>
      <c r="Y46" s="45">
        <v>58</v>
      </c>
      <c r="Z46" s="45">
        <v>79</v>
      </c>
      <c r="AA46" s="45">
        <v>72</v>
      </c>
      <c r="AC46" s="44">
        <v>1619</v>
      </c>
      <c r="AD46" s="44" t="s">
        <v>668</v>
      </c>
      <c r="AE46" s="45">
        <v>53</v>
      </c>
      <c r="AF46" s="45">
        <v>65</v>
      </c>
      <c r="AG46" s="45">
        <v>63</v>
      </c>
      <c r="AH46" s="45">
        <v>48</v>
      </c>
      <c r="AI46" s="45">
        <v>13</v>
      </c>
      <c r="AJ46" s="46">
        <f t="shared" si="2"/>
        <v>242</v>
      </c>
      <c r="AK46" s="45">
        <v>90</v>
      </c>
      <c r="AL46" s="45">
        <v>86</v>
      </c>
      <c r="AM46" s="45">
        <v>26</v>
      </c>
      <c r="AN46" s="45">
        <v>19</v>
      </c>
      <c r="AO46" s="45">
        <v>70</v>
      </c>
      <c r="AQ46" s="44">
        <v>1045</v>
      </c>
      <c r="AR46" s="44" t="s">
        <v>668</v>
      </c>
      <c r="AS46" s="45">
        <v>36</v>
      </c>
      <c r="AT46" s="45">
        <v>62</v>
      </c>
      <c r="AU46" s="45">
        <v>81</v>
      </c>
      <c r="AV46" s="45">
        <v>16</v>
      </c>
      <c r="AW46" s="45">
        <v>61</v>
      </c>
      <c r="AX46" s="46">
        <f t="shared" si="3"/>
        <v>256</v>
      </c>
      <c r="AY46" s="45">
        <v>32</v>
      </c>
      <c r="AZ46" s="45">
        <v>24</v>
      </c>
      <c r="BA46" s="45">
        <v>66</v>
      </c>
      <c r="BB46" s="45">
        <v>84</v>
      </c>
      <c r="BC46" s="45">
        <v>53</v>
      </c>
      <c r="BE46" s="44">
        <v>941</v>
      </c>
      <c r="BF46" s="44" t="s">
        <v>671</v>
      </c>
      <c r="BG46" s="45">
        <v>56</v>
      </c>
      <c r="BH46" s="45">
        <v>1</v>
      </c>
      <c r="BI46" s="45">
        <v>50</v>
      </c>
      <c r="BJ46" s="45">
        <v>26</v>
      </c>
      <c r="BK46" s="45">
        <v>80</v>
      </c>
      <c r="BL46" s="46">
        <f t="shared" si="4"/>
        <v>213</v>
      </c>
      <c r="BM46" s="45">
        <v>89</v>
      </c>
      <c r="BN46" s="45">
        <v>55</v>
      </c>
      <c r="BO46" s="45">
        <v>32</v>
      </c>
      <c r="BP46" s="45">
        <v>71</v>
      </c>
      <c r="BQ46" s="45">
        <v>37</v>
      </c>
      <c r="BS46" s="44">
        <v>629</v>
      </c>
      <c r="BT46" s="44" t="s">
        <v>666</v>
      </c>
      <c r="BU46" s="45">
        <v>87</v>
      </c>
      <c r="BV46" s="45">
        <v>45</v>
      </c>
      <c r="BW46" s="45">
        <v>53</v>
      </c>
      <c r="BX46" s="45">
        <v>38</v>
      </c>
      <c r="BY46" s="45">
        <v>20</v>
      </c>
      <c r="BZ46" s="46">
        <f t="shared" si="5"/>
        <v>243</v>
      </c>
      <c r="CA46" s="45">
        <v>28</v>
      </c>
      <c r="CB46" s="45">
        <v>21</v>
      </c>
      <c r="CC46" s="45">
        <v>18</v>
      </c>
      <c r="CD46" s="45">
        <v>49</v>
      </c>
      <c r="CE46" s="45">
        <v>30</v>
      </c>
      <c r="CG46" s="44">
        <v>524</v>
      </c>
      <c r="CH46" s="44" t="s">
        <v>663</v>
      </c>
      <c r="CI46" s="45">
        <v>86</v>
      </c>
      <c r="CJ46" s="45">
        <v>66</v>
      </c>
      <c r="CK46" s="45">
        <v>4</v>
      </c>
      <c r="CL46" s="45">
        <v>58</v>
      </c>
      <c r="CM46" s="45">
        <v>5</v>
      </c>
      <c r="CN46" s="46">
        <f t="shared" si="6"/>
        <v>219</v>
      </c>
      <c r="CO46" s="45">
        <v>52</v>
      </c>
      <c r="CP46" s="45">
        <v>12</v>
      </c>
      <c r="CQ46" s="45">
        <v>36</v>
      </c>
      <c r="CR46" s="45">
        <v>50</v>
      </c>
      <c r="CS46" s="45">
        <v>48</v>
      </c>
    </row>
    <row r="47" spans="1:97" x14ac:dyDescent="0.2">
      <c r="A47" s="49">
        <v>2036</v>
      </c>
      <c r="B47" s="49" t="s">
        <v>398</v>
      </c>
      <c r="C47" s="50">
        <v>6</v>
      </c>
      <c r="D47" s="50">
        <v>35</v>
      </c>
      <c r="E47" s="50">
        <v>54</v>
      </c>
      <c r="F47" s="50">
        <v>21</v>
      </c>
      <c r="G47" s="50">
        <v>24</v>
      </c>
      <c r="H47" s="51">
        <f t="shared" si="0"/>
        <v>140</v>
      </c>
      <c r="I47" s="50">
        <v>17</v>
      </c>
      <c r="J47" s="50">
        <v>64</v>
      </c>
      <c r="K47" s="50">
        <v>49</v>
      </c>
      <c r="L47" s="50">
        <v>16</v>
      </c>
      <c r="M47" s="50">
        <v>1</v>
      </c>
      <c r="O47" s="49">
        <v>1829</v>
      </c>
      <c r="P47" s="49" t="s">
        <v>677</v>
      </c>
      <c r="Q47" s="50">
        <v>64</v>
      </c>
      <c r="R47" s="50">
        <v>44</v>
      </c>
      <c r="S47" s="50">
        <v>53</v>
      </c>
      <c r="T47" s="50">
        <v>86</v>
      </c>
      <c r="U47" s="50">
        <v>33</v>
      </c>
      <c r="V47" s="46">
        <f t="shared" si="1"/>
        <v>280</v>
      </c>
      <c r="W47" s="50">
        <v>83</v>
      </c>
      <c r="X47" s="50">
        <v>18</v>
      </c>
      <c r="Y47" s="50">
        <v>62</v>
      </c>
      <c r="Z47" s="50">
        <v>32</v>
      </c>
      <c r="AA47" s="50">
        <v>47</v>
      </c>
      <c r="AC47" s="49">
        <v>1620</v>
      </c>
      <c r="AD47" s="49" t="s">
        <v>674</v>
      </c>
      <c r="AE47" s="50">
        <v>36</v>
      </c>
      <c r="AF47" s="50">
        <v>57</v>
      </c>
      <c r="AG47" s="50">
        <v>84</v>
      </c>
      <c r="AH47" s="50">
        <v>75</v>
      </c>
      <c r="AI47" s="50">
        <v>89</v>
      </c>
      <c r="AJ47" s="46">
        <f t="shared" si="2"/>
        <v>341</v>
      </c>
      <c r="AK47" s="50">
        <v>11</v>
      </c>
      <c r="AL47" s="50">
        <v>85</v>
      </c>
      <c r="AM47" s="50">
        <v>53</v>
      </c>
      <c r="AN47" s="50">
        <v>82</v>
      </c>
      <c r="AO47" s="50">
        <v>55</v>
      </c>
      <c r="AQ47" s="49">
        <v>1046</v>
      </c>
      <c r="AR47" s="49" t="s">
        <v>674</v>
      </c>
      <c r="AS47" s="50">
        <v>38</v>
      </c>
      <c r="AT47" s="50">
        <v>3</v>
      </c>
      <c r="AU47" s="50">
        <v>41</v>
      </c>
      <c r="AV47" s="50">
        <v>73</v>
      </c>
      <c r="AW47" s="50">
        <v>46</v>
      </c>
      <c r="AX47" s="46">
        <f t="shared" si="3"/>
        <v>201</v>
      </c>
      <c r="AY47" s="50">
        <v>72</v>
      </c>
      <c r="AZ47" s="50">
        <v>16</v>
      </c>
      <c r="BA47" s="50">
        <v>5</v>
      </c>
      <c r="BB47" s="50">
        <v>23</v>
      </c>
      <c r="BC47" s="50">
        <v>48</v>
      </c>
      <c r="BE47" s="49">
        <v>942</v>
      </c>
      <c r="BF47" s="49" t="s">
        <v>677</v>
      </c>
      <c r="BG47" s="50">
        <v>71</v>
      </c>
      <c r="BH47" s="50">
        <v>29</v>
      </c>
      <c r="BI47" s="50">
        <v>89</v>
      </c>
      <c r="BJ47" s="50">
        <v>16</v>
      </c>
      <c r="BK47" s="50">
        <v>68</v>
      </c>
      <c r="BL47" s="46">
        <f t="shared" si="4"/>
        <v>273</v>
      </c>
      <c r="BM47" s="50">
        <v>56</v>
      </c>
      <c r="BN47" s="50">
        <v>64</v>
      </c>
      <c r="BO47" s="50">
        <v>37</v>
      </c>
      <c r="BP47" s="50">
        <v>50</v>
      </c>
      <c r="BQ47" s="50">
        <v>32</v>
      </c>
      <c r="BS47" s="49">
        <v>630</v>
      </c>
      <c r="BT47" s="49" t="s">
        <v>672</v>
      </c>
      <c r="BU47" s="50">
        <v>27</v>
      </c>
      <c r="BV47" s="50">
        <v>1</v>
      </c>
      <c r="BW47" s="50">
        <v>65</v>
      </c>
      <c r="BX47" s="50">
        <v>17</v>
      </c>
      <c r="BY47" s="50">
        <v>22</v>
      </c>
      <c r="BZ47" s="51">
        <f t="shared" si="5"/>
        <v>132</v>
      </c>
      <c r="CA47" s="50">
        <v>33</v>
      </c>
      <c r="CB47" s="50">
        <v>78</v>
      </c>
      <c r="CC47" s="50">
        <v>7</v>
      </c>
      <c r="CD47" s="50">
        <v>48</v>
      </c>
      <c r="CE47" s="50">
        <v>47</v>
      </c>
      <c r="CG47" s="49">
        <v>525</v>
      </c>
      <c r="CH47" s="49" t="s">
        <v>670</v>
      </c>
      <c r="CI47" s="50">
        <v>87</v>
      </c>
      <c r="CJ47" s="50">
        <v>43</v>
      </c>
      <c r="CK47" s="50">
        <v>15</v>
      </c>
      <c r="CL47" s="50">
        <v>61</v>
      </c>
      <c r="CM47" s="50">
        <v>37</v>
      </c>
      <c r="CN47" s="46">
        <f t="shared" si="6"/>
        <v>243</v>
      </c>
      <c r="CO47" s="50">
        <v>58</v>
      </c>
      <c r="CP47" s="50">
        <v>13</v>
      </c>
      <c r="CQ47" s="50">
        <v>17</v>
      </c>
      <c r="CR47" s="50">
        <v>7</v>
      </c>
      <c r="CS47" s="50">
        <v>64</v>
      </c>
    </row>
    <row r="48" spans="1:97" x14ac:dyDescent="0.2">
      <c r="A48" s="44">
        <v>2037</v>
      </c>
      <c r="B48" s="44" t="s">
        <v>406</v>
      </c>
      <c r="C48" s="45">
        <v>32</v>
      </c>
      <c r="D48" s="45">
        <v>21</v>
      </c>
      <c r="E48" s="45">
        <v>9</v>
      </c>
      <c r="F48" s="45">
        <v>66</v>
      </c>
      <c r="G48" s="45">
        <v>25</v>
      </c>
      <c r="H48" s="48">
        <f t="shared" si="0"/>
        <v>153</v>
      </c>
      <c r="I48" s="45">
        <v>36</v>
      </c>
      <c r="J48" s="45">
        <v>13</v>
      </c>
      <c r="K48" s="45">
        <v>15</v>
      </c>
      <c r="L48" s="45">
        <v>75</v>
      </c>
      <c r="M48" s="45">
        <v>86</v>
      </c>
      <c r="O48" s="44">
        <v>1830</v>
      </c>
      <c r="P48" s="44" t="s">
        <v>683</v>
      </c>
      <c r="Q48" s="45">
        <v>49</v>
      </c>
      <c r="R48" s="45">
        <v>44</v>
      </c>
      <c r="S48" s="45">
        <v>27</v>
      </c>
      <c r="T48" s="45">
        <v>80</v>
      </c>
      <c r="U48" s="45">
        <v>54</v>
      </c>
      <c r="V48" s="46">
        <f t="shared" si="1"/>
        <v>254</v>
      </c>
      <c r="W48" s="45">
        <v>8</v>
      </c>
      <c r="X48" s="45">
        <v>14</v>
      </c>
      <c r="Y48" s="45">
        <v>45</v>
      </c>
      <c r="Z48" s="45">
        <v>3</v>
      </c>
      <c r="AA48" s="45">
        <v>81</v>
      </c>
      <c r="AC48" s="44">
        <v>1621</v>
      </c>
      <c r="AD48" s="44" t="s">
        <v>680</v>
      </c>
      <c r="AE48" s="45">
        <v>30</v>
      </c>
      <c r="AF48" s="45">
        <v>2</v>
      </c>
      <c r="AG48" s="45">
        <v>65</v>
      </c>
      <c r="AH48" s="45">
        <v>17</v>
      </c>
      <c r="AI48" s="45">
        <v>32</v>
      </c>
      <c r="AJ48" s="48">
        <f t="shared" si="2"/>
        <v>146</v>
      </c>
      <c r="AK48" s="45">
        <v>10</v>
      </c>
      <c r="AL48" s="45">
        <v>24</v>
      </c>
      <c r="AM48" s="45">
        <v>29</v>
      </c>
      <c r="AN48" s="45">
        <v>52</v>
      </c>
      <c r="AO48" s="45">
        <v>90</v>
      </c>
      <c r="AQ48" s="44">
        <v>1047</v>
      </c>
      <c r="AR48" s="44" t="s">
        <v>680</v>
      </c>
      <c r="AS48" s="45">
        <v>1</v>
      </c>
      <c r="AT48" s="45">
        <v>11</v>
      </c>
      <c r="AU48" s="45">
        <v>64</v>
      </c>
      <c r="AV48" s="45">
        <v>3</v>
      </c>
      <c r="AW48" s="45">
        <v>39</v>
      </c>
      <c r="AX48" s="48">
        <f t="shared" si="3"/>
        <v>118</v>
      </c>
      <c r="AY48" s="45">
        <v>22</v>
      </c>
      <c r="AZ48" s="45">
        <v>32</v>
      </c>
      <c r="BA48" s="45">
        <v>42</v>
      </c>
      <c r="BB48" s="45">
        <v>29</v>
      </c>
      <c r="BC48" s="45">
        <v>59</v>
      </c>
      <c r="BE48" s="44">
        <v>943</v>
      </c>
      <c r="BF48" s="44" t="s">
        <v>683</v>
      </c>
      <c r="BG48" s="45">
        <v>55</v>
      </c>
      <c r="BH48" s="45">
        <v>12</v>
      </c>
      <c r="BI48" s="45">
        <v>4</v>
      </c>
      <c r="BJ48" s="45">
        <v>35</v>
      </c>
      <c r="BK48" s="45">
        <v>37</v>
      </c>
      <c r="BL48" s="48">
        <f t="shared" si="4"/>
        <v>143</v>
      </c>
      <c r="BM48" s="45">
        <v>89</v>
      </c>
      <c r="BN48" s="45">
        <v>16</v>
      </c>
      <c r="BO48" s="45">
        <v>48</v>
      </c>
      <c r="BP48" s="45">
        <v>31</v>
      </c>
      <c r="BQ48" s="45">
        <v>30</v>
      </c>
      <c r="BS48" s="44">
        <v>631</v>
      </c>
      <c r="BT48" s="44" t="s">
        <v>678</v>
      </c>
      <c r="BU48" s="45">
        <v>41</v>
      </c>
      <c r="BV48" s="45">
        <v>26</v>
      </c>
      <c r="BW48" s="45">
        <v>24</v>
      </c>
      <c r="BX48" s="45">
        <v>64</v>
      </c>
      <c r="BY48" s="45">
        <v>7</v>
      </c>
      <c r="BZ48" s="48">
        <f t="shared" si="5"/>
        <v>162</v>
      </c>
      <c r="CA48" s="45">
        <v>79</v>
      </c>
      <c r="CB48" s="45">
        <v>59</v>
      </c>
      <c r="CC48" s="45">
        <v>21</v>
      </c>
      <c r="CD48" s="45">
        <v>10</v>
      </c>
      <c r="CE48" s="45">
        <v>37</v>
      </c>
      <c r="CG48" s="44">
        <v>526</v>
      </c>
      <c r="CH48" s="44" t="s">
        <v>676</v>
      </c>
      <c r="CI48" s="45">
        <v>49</v>
      </c>
      <c r="CJ48" s="45">
        <v>31</v>
      </c>
      <c r="CK48" s="45">
        <v>47</v>
      </c>
      <c r="CL48" s="45">
        <v>56</v>
      </c>
      <c r="CM48" s="45">
        <v>82</v>
      </c>
      <c r="CN48" s="46">
        <f t="shared" si="6"/>
        <v>265</v>
      </c>
      <c r="CO48" s="45">
        <v>72</v>
      </c>
      <c r="CP48" s="45">
        <v>3</v>
      </c>
      <c r="CQ48" s="45">
        <v>50</v>
      </c>
      <c r="CR48" s="45">
        <v>45</v>
      </c>
      <c r="CS48" s="45">
        <v>36</v>
      </c>
    </row>
    <row r="49" spans="1:97" x14ac:dyDescent="0.2">
      <c r="A49" s="49">
        <v>2038</v>
      </c>
      <c r="B49" s="49" t="s">
        <v>414</v>
      </c>
      <c r="C49" s="50">
        <v>33</v>
      </c>
      <c r="D49" s="50">
        <v>87</v>
      </c>
      <c r="E49" s="50">
        <v>53</v>
      </c>
      <c r="F49" s="50">
        <v>25</v>
      </c>
      <c r="G49" s="50">
        <v>40</v>
      </c>
      <c r="H49" s="46">
        <f t="shared" si="0"/>
        <v>238</v>
      </c>
      <c r="I49" s="50">
        <v>23</v>
      </c>
      <c r="J49" s="50">
        <v>4</v>
      </c>
      <c r="K49" s="50">
        <v>50</v>
      </c>
      <c r="L49" s="50">
        <v>28</v>
      </c>
      <c r="M49" s="50">
        <v>13</v>
      </c>
      <c r="O49" s="49">
        <v>1831</v>
      </c>
      <c r="P49" s="49" t="s">
        <v>688</v>
      </c>
      <c r="Q49" s="50">
        <v>21</v>
      </c>
      <c r="R49" s="50">
        <v>84</v>
      </c>
      <c r="S49" s="50">
        <v>4</v>
      </c>
      <c r="T49" s="50">
        <v>13</v>
      </c>
      <c r="U49" s="50">
        <v>78</v>
      </c>
      <c r="V49" s="46">
        <f t="shared" si="1"/>
        <v>200</v>
      </c>
      <c r="W49" s="50">
        <v>15</v>
      </c>
      <c r="X49" s="50">
        <v>75</v>
      </c>
      <c r="Y49" s="50">
        <v>81</v>
      </c>
      <c r="Z49" s="50">
        <v>74</v>
      </c>
      <c r="AA49" s="50">
        <v>86</v>
      </c>
      <c r="AC49" s="49">
        <v>1622</v>
      </c>
      <c r="AD49" s="49" t="s">
        <v>660</v>
      </c>
      <c r="AE49" s="50">
        <v>12</v>
      </c>
      <c r="AF49" s="50">
        <v>28</v>
      </c>
      <c r="AG49" s="50">
        <v>78</v>
      </c>
      <c r="AH49" s="47">
        <v>57</v>
      </c>
      <c r="AI49" s="50">
        <v>14</v>
      </c>
      <c r="AJ49" s="46">
        <f t="shared" si="2"/>
        <v>189</v>
      </c>
      <c r="AK49" s="50">
        <v>68</v>
      </c>
      <c r="AL49" s="47">
        <v>24</v>
      </c>
      <c r="AM49" s="50">
        <v>58</v>
      </c>
      <c r="AN49" s="47">
        <v>42</v>
      </c>
      <c r="AO49" s="50">
        <v>85</v>
      </c>
      <c r="AQ49" s="49">
        <v>1048</v>
      </c>
      <c r="AR49" s="49" t="s">
        <v>660</v>
      </c>
      <c r="AS49" s="50">
        <v>81</v>
      </c>
      <c r="AT49" s="50">
        <v>89</v>
      </c>
      <c r="AU49" s="50">
        <v>27</v>
      </c>
      <c r="AV49" s="50">
        <v>14</v>
      </c>
      <c r="AW49" s="50">
        <v>88</v>
      </c>
      <c r="AX49" s="46">
        <f t="shared" si="3"/>
        <v>299</v>
      </c>
      <c r="AY49" s="50">
        <v>29</v>
      </c>
      <c r="AZ49" s="50">
        <v>70</v>
      </c>
      <c r="BA49" s="50">
        <v>80</v>
      </c>
      <c r="BB49" s="50">
        <v>57</v>
      </c>
      <c r="BC49" s="50">
        <v>31</v>
      </c>
      <c r="BE49" s="49">
        <v>944</v>
      </c>
      <c r="BF49" s="49" t="s">
        <v>688</v>
      </c>
      <c r="BG49" s="50">
        <v>59</v>
      </c>
      <c r="BH49" s="50">
        <v>45</v>
      </c>
      <c r="BI49" s="50">
        <v>34</v>
      </c>
      <c r="BJ49" s="50">
        <v>86</v>
      </c>
      <c r="BK49" s="50">
        <v>30</v>
      </c>
      <c r="BL49" s="46">
        <f t="shared" si="4"/>
        <v>254</v>
      </c>
      <c r="BM49" s="50">
        <v>72</v>
      </c>
      <c r="BN49" s="50">
        <v>48</v>
      </c>
      <c r="BO49" s="50">
        <v>58</v>
      </c>
      <c r="BP49" s="50">
        <v>44</v>
      </c>
      <c r="BQ49" s="50">
        <v>70</v>
      </c>
      <c r="BS49" s="49">
        <v>632</v>
      </c>
      <c r="BT49" s="49" t="s">
        <v>684</v>
      </c>
      <c r="BU49" s="50">
        <v>25</v>
      </c>
      <c r="BV49" s="50">
        <v>45</v>
      </c>
      <c r="BW49" s="50">
        <v>3</v>
      </c>
      <c r="BX49" s="50">
        <v>54</v>
      </c>
      <c r="BY49" s="50">
        <v>84</v>
      </c>
      <c r="BZ49" s="46">
        <f t="shared" si="5"/>
        <v>211</v>
      </c>
      <c r="CA49" s="50">
        <v>75</v>
      </c>
      <c r="CB49" s="50">
        <v>49</v>
      </c>
      <c r="CC49" s="50">
        <v>88</v>
      </c>
      <c r="CD49" s="50">
        <v>56</v>
      </c>
      <c r="CE49" s="50">
        <v>43</v>
      </c>
      <c r="CG49" s="49">
        <v>527</v>
      </c>
      <c r="CH49" s="49" t="s">
        <v>682</v>
      </c>
      <c r="CI49" s="50">
        <v>9</v>
      </c>
      <c r="CJ49" s="50">
        <v>41</v>
      </c>
      <c r="CK49" s="50">
        <v>25</v>
      </c>
      <c r="CL49" s="50">
        <v>26</v>
      </c>
      <c r="CM49" s="50">
        <v>32</v>
      </c>
      <c r="CN49" s="51">
        <f t="shared" si="6"/>
        <v>133</v>
      </c>
      <c r="CO49" s="50">
        <v>55</v>
      </c>
      <c r="CP49" s="50">
        <v>73</v>
      </c>
      <c r="CQ49" s="50">
        <v>24</v>
      </c>
      <c r="CR49" s="50">
        <v>57</v>
      </c>
      <c r="CS49" s="50">
        <v>18</v>
      </c>
    </row>
    <row r="50" spans="1:97" x14ac:dyDescent="0.2">
      <c r="A50" s="44">
        <v>2039</v>
      </c>
      <c r="B50" s="44" t="s">
        <v>422</v>
      </c>
      <c r="C50" s="45">
        <v>31</v>
      </c>
      <c r="D50" s="45">
        <v>20</v>
      </c>
      <c r="E50" s="45">
        <v>45</v>
      </c>
      <c r="F50" s="45">
        <v>1</v>
      </c>
      <c r="G50" s="45">
        <v>78</v>
      </c>
      <c r="H50" s="48">
        <f t="shared" si="0"/>
        <v>175</v>
      </c>
      <c r="I50" s="45">
        <v>51</v>
      </c>
      <c r="J50" s="45">
        <v>60</v>
      </c>
      <c r="K50" s="45">
        <v>70</v>
      </c>
      <c r="L50" s="45">
        <v>6</v>
      </c>
      <c r="M50" s="45">
        <v>88</v>
      </c>
      <c r="O50" s="44">
        <v>1832</v>
      </c>
      <c r="P50" s="44" t="s">
        <v>694</v>
      </c>
      <c r="Q50" s="45">
        <v>15</v>
      </c>
      <c r="R50" s="45">
        <v>32</v>
      </c>
      <c r="S50" s="45">
        <v>45</v>
      </c>
      <c r="T50" s="45">
        <v>68</v>
      </c>
      <c r="U50" s="45">
        <v>79</v>
      </c>
      <c r="V50" s="46">
        <f t="shared" si="1"/>
        <v>239</v>
      </c>
      <c r="W50" s="45">
        <v>41</v>
      </c>
      <c r="X50" s="45">
        <v>47</v>
      </c>
      <c r="Y50" s="45">
        <v>62</v>
      </c>
      <c r="Z50" s="45">
        <v>12</v>
      </c>
      <c r="AA50" s="45">
        <v>3</v>
      </c>
      <c r="AC50" s="44">
        <v>1623</v>
      </c>
      <c r="AD50" s="44" t="s">
        <v>691</v>
      </c>
      <c r="AE50" s="45">
        <v>10</v>
      </c>
      <c r="AF50" s="45">
        <v>24</v>
      </c>
      <c r="AG50" s="45">
        <v>28</v>
      </c>
      <c r="AH50" s="45">
        <v>2</v>
      </c>
      <c r="AI50" s="45">
        <v>47</v>
      </c>
      <c r="AJ50" s="48">
        <f t="shared" si="2"/>
        <v>111</v>
      </c>
      <c r="AK50" s="45">
        <v>9</v>
      </c>
      <c r="AL50" s="45">
        <v>59</v>
      </c>
      <c r="AM50" s="45">
        <v>21</v>
      </c>
      <c r="AN50" s="45">
        <v>74</v>
      </c>
      <c r="AO50" s="45">
        <v>8</v>
      </c>
      <c r="AQ50" s="44">
        <v>1049</v>
      </c>
      <c r="AR50" s="44" t="s">
        <v>691</v>
      </c>
      <c r="AS50" s="45">
        <v>80</v>
      </c>
      <c r="AT50" s="45">
        <v>38</v>
      </c>
      <c r="AU50" s="45">
        <v>62</v>
      </c>
      <c r="AV50" s="45">
        <v>84</v>
      </c>
      <c r="AW50" s="45">
        <v>4</v>
      </c>
      <c r="AX50" s="46">
        <f t="shared" si="3"/>
        <v>268</v>
      </c>
      <c r="AY50" s="45">
        <v>89</v>
      </c>
      <c r="AZ50" s="45">
        <v>24</v>
      </c>
      <c r="BA50" s="45">
        <v>50</v>
      </c>
      <c r="BB50" s="45">
        <v>79</v>
      </c>
      <c r="BC50" s="45">
        <v>46</v>
      </c>
      <c r="BE50" s="44">
        <v>945</v>
      </c>
      <c r="BF50" s="44" t="s">
        <v>694</v>
      </c>
      <c r="BG50" s="45">
        <v>55</v>
      </c>
      <c r="BH50" s="45">
        <v>29</v>
      </c>
      <c r="BI50" s="45">
        <v>63</v>
      </c>
      <c r="BJ50" s="45">
        <v>52</v>
      </c>
      <c r="BK50" s="45">
        <v>1</v>
      </c>
      <c r="BL50" s="46">
        <f t="shared" si="4"/>
        <v>200</v>
      </c>
      <c r="BM50" s="45">
        <v>19</v>
      </c>
      <c r="BN50" s="45">
        <v>8</v>
      </c>
      <c r="BO50" s="45">
        <v>26</v>
      </c>
      <c r="BP50" s="45">
        <v>45</v>
      </c>
      <c r="BQ50" s="45">
        <v>68</v>
      </c>
      <c r="BS50" s="44">
        <v>633</v>
      </c>
      <c r="BT50" s="44" t="s">
        <v>689</v>
      </c>
      <c r="BU50" s="45">
        <v>28</v>
      </c>
      <c r="BV50" s="45">
        <v>84</v>
      </c>
      <c r="BW50" s="45">
        <v>47</v>
      </c>
      <c r="BX50" s="45">
        <v>35</v>
      </c>
      <c r="BY50" s="45">
        <v>43</v>
      </c>
      <c r="BZ50" s="46">
        <f t="shared" si="5"/>
        <v>237</v>
      </c>
      <c r="CA50" s="45">
        <v>81</v>
      </c>
      <c r="CB50" s="45">
        <v>22</v>
      </c>
      <c r="CC50" s="45">
        <v>24</v>
      </c>
      <c r="CD50" s="45">
        <v>66</v>
      </c>
      <c r="CE50" s="45">
        <v>2</v>
      </c>
      <c r="CG50" s="44">
        <v>528</v>
      </c>
      <c r="CH50" s="44" t="s">
        <v>687</v>
      </c>
      <c r="CI50" s="45">
        <v>53</v>
      </c>
      <c r="CJ50" s="45">
        <v>9</v>
      </c>
      <c r="CK50" s="45">
        <v>49</v>
      </c>
      <c r="CL50" s="45">
        <v>64</v>
      </c>
      <c r="CM50" s="45">
        <v>17</v>
      </c>
      <c r="CN50" s="46">
        <f t="shared" si="6"/>
        <v>192</v>
      </c>
      <c r="CO50" s="45">
        <v>46</v>
      </c>
      <c r="CP50" s="45">
        <v>57</v>
      </c>
      <c r="CQ50" s="45">
        <v>16</v>
      </c>
      <c r="CR50" s="45">
        <v>76</v>
      </c>
      <c r="CS50" s="45">
        <v>4</v>
      </c>
    </row>
    <row r="51" spans="1:97" x14ac:dyDescent="0.2">
      <c r="A51" s="49">
        <v>2040</v>
      </c>
      <c r="B51" s="49" t="s">
        <v>430</v>
      </c>
      <c r="C51" s="50">
        <v>69</v>
      </c>
      <c r="D51" s="50">
        <v>81</v>
      </c>
      <c r="E51" s="50">
        <v>3</v>
      </c>
      <c r="F51" s="50">
        <v>27</v>
      </c>
      <c r="G51" s="50">
        <v>80</v>
      </c>
      <c r="H51" s="46">
        <f t="shared" si="0"/>
        <v>260</v>
      </c>
      <c r="I51" s="50">
        <v>70</v>
      </c>
      <c r="J51" s="50">
        <v>7</v>
      </c>
      <c r="K51" s="50">
        <v>64</v>
      </c>
      <c r="L51" s="50">
        <v>65</v>
      </c>
      <c r="M51" s="50">
        <v>75</v>
      </c>
      <c r="O51" s="49">
        <v>1833</v>
      </c>
      <c r="P51" s="49" t="s">
        <v>700</v>
      </c>
      <c r="Q51" s="50">
        <v>89</v>
      </c>
      <c r="R51" s="50">
        <v>6</v>
      </c>
      <c r="S51" s="50">
        <v>22</v>
      </c>
      <c r="T51" s="50">
        <v>87</v>
      </c>
      <c r="U51" s="50">
        <v>12</v>
      </c>
      <c r="V51" s="46">
        <f t="shared" si="1"/>
        <v>216</v>
      </c>
      <c r="W51" s="50">
        <v>75</v>
      </c>
      <c r="X51" s="50">
        <v>76</v>
      </c>
      <c r="Y51" s="50">
        <v>3</v>
      </c>
      <c r="Z51" s="50">
        <v>84</v>
      </c>
      <c r="AA51" s="50">
        <v>15</v>
      </c>
      <c r="AC51" s="49">
        <v>1624</v>
      </c>
      <c r="AD51" s="49" t="s">
        <v>697</v>
      </c>
      <c r="AE51" s="50">
        <v>62</v>
      </c>
      <c r="AF51" s="50">
        <v>36</v>
      </c>
      <c r="AG51" s="50">
        <v>59</v>
      </c>
      <c r="AH51" s="50">
        <v>44</v>
      </c>
      <c r="AI51" s="50">
        <v>82</v>
      </c>
      <c r="AJ51" s="46">
        <f t="shared" si="2"/>
        <v>283</v>
      </c>
      <c r="AK51" s="50">
        <v>11</v>
      </c>
      <c r="AL51" s="50">
        <v>76</v>
      </c>
      <c r="AM51" s="50">
        <v>18</v>
      </c>
      <c r="AN51" s="50">
        <v>21</v>
      </c>
      <c r="AO51" s="50">
        <v>4</v>
      </c>
      <c r="AQ51" s="49">
        <v>1050</v>
      </c>
      <c r="AR51" s="49" t="s">
        <v>697</v>
      </c>
      <c r="AS51" s="50">
        <v>53</v>
      </c>
      <c r="AT51" s="50">
        <v>50</v>
      </c>
      <c r="AU51" s="50">
        <v>48</v>
      </c>
      <c r="AV51" s="50">
        <v>49</v>
      </c>
      <c r="AW51" s="50">
        <v>44</v>
      </c>
      <c r="AX51" s="46">
        <f t="shared" si="3"/>
        <v>244</v>
      </c>
      <c r="AY51" s="50">
        <v>15</v>
      </c>
      <c r="AZ51" s="50">
        <v>80</v>
      </c>
      <c r="BA51" s="50">
        <v>38</v>
      </c>
      <c r="BB51" s="50">
        <v>33</v>
      </c>
      <c r="BC51" s="50">
        <v>24</v>
      </c>
      <c r="BE51" s="49">
        <v>946</v>
      </c>
      <c r="BF51" s="49" t="s">
        <v>700</v>
      </c>
      <c r="BG51" s="50">
        <v>8</v>
      </c>
      <c r="BH51" s="50">
        <v>47</v>
      </c>
      <c r="BI51" s="50">
        <v>52</v>
      </c>
      <c r="BJ51" s="50">
        <v>34</v>
      </c>
      <c r="BK51" s="50">
        <v>2</v>
      </c>
      <c r="BL51" s="51">
        <f t="shared" si="4"/>
        <v>143</v>
      </c>
      <c r="BM51" s="50">
        <v>27</v>
      </c>
      <c r="BN51" s="50">
        <v>39</v>
      </c>
      <c r="BO51" s="50">
        <v>83</v>
      </c>
      <c r="BP51" s="50">
        <v>28</v>
      </c>
      <c r="BQ51" s="50">
        <v>58</v>
      </c>
      <c r="BS51" s="49">
        <v>634</v>
      </c>
      <c r="BT51" s="49" t="s">
        <v>695</v>
      </c>
      <c r="BU51" s="50">
        <v>13</v>
      </c>
      <c r="BV51" s="50">
        <v>14</v>
      </c>
      <c r="BW51" s="50">
        <v>86</v>
      </c>
      <c r="BX51" s="50">
        <v>33</v>
      </c>
      <c r="BY51" s="50">
        <v>21</v>
      </c>
      <c r="BZ51" s="51">
        <f t="shared" si="5"/>
        <v>167</v>
      </c>
      <c r="CA51" s="50">
        <v>84</v>
      </c>
      <c r="CB51" s="50">
        <v>75</v>
      </c>
      <c r="CC51" s="50">
        <v>55</v>
      </c>
      <c r="CD51" s="50">
        <v>26</v>
      </c>
      <c r="CE51" s="50">
        <v>49</v>
      </c>
      <c r="CG51" s="49">
        <v>529</v>
      </c>
      <c r="CH51" s="49" t="s">
        <v>693</v>
      </c>
      <c r="CI51" s="50">
        <v>58</v>
      </c>
      <c r="CJ51" s="50">
        <v>74</v>
      </c>
      <c r="CK51" s="50">
        <v>15</v>
      </c>
      <c r="CL51" s="50">
        <v>12</v>
      </c>
      <c r="CM51" s="50">
        <v>80</v>
      </c>
      <c r="CN51" s="46">
        <f t="shared" si="6"/>
        <v>239</v>
      </c>
      <c r="CO51" s="50">
        <v>1</v>
      </c>
      <c r="CP51" s="50">
        <v>54</v>
      </c>
      <c r="CQ51" s="50">
        <v>45</v>
      </c>
      <c r="CR51" s="50">
        <v>40</v>
      </c>
      <c r="CS51" s="50">
        <v>4</v>
      </c>
    </row>
    <row r="52" spans="1:97" x14ac:dyDescent="0.2">
      <c r="A52" s="44">
        <v>2041</v>
      </c>
      <c r="B52" s="44" t="s">
        <v>438</v>
      </c>
      <c r="C52" s="45">
        <v>67</v>
      </c>
      <c r="D52" s="45">
        <v>37</v>
      </c>
      <c r="E52" s="45">
        <v>59</v>
      </c>
      <c r="F52" s="45">
        <v>68</v>
      </c>
      <c r="G52" s="45">
        <v>48</v>
      </c>
      <c r="H52" s="46">
        <f t="shared" si="0"/>
        <v>279</v>
      </c>
      <c r="I52" s="45">
        <v>36</v>
      </c>
      <c r="J52" s="45">
        <v>57</v>
      </c>
      <c r="K52" s="45">
        <v>52</v>
      </c>
      <c r="L52" s="45">
        <v>80</v>
      </c>
      <c r="M52" s="45">
        <v>25</v>
      </c>
      <c r="O52" s="44">
        <v>1834</v>
      </c>
      <c r="P52" s="44" t="s">
        <v>706</v>
      </c>
      <c r="Q52" s="45">
        <v>16</v>
      </c>
      <c r="R52" s="45">
        <v>32</v>
      </c>
      <c r="S52" s="45">
        <v>55</v>
      </c>
      <c r="T52" s="45">
        <v>77</v>
      </c>
      <c r="U52" s="45">
        <v>13</v>
      </c>
      <c r="V52" s="46">
        <f t="shared" si="1"/>
        <v>193</v>
      </c>
      <c r="W52" s="45">
        <v>26</v>
      </c>
      <c r="X52" s="45">
        <v>18</v>
      </c>
      <c r="Y52" s="45">
        <v>50</v>
      </c>
      <c r="Z52" s="45">
        <v>53</v>
      </c>
      <c r="AA52" s="45">
        <v>28</v>
      </c>
      <c r="AC52" s="44">
        <v>1625</v>
      </c>
      <c r="AD52" s="44" t="s">
        <v>703</v>
      </c>
      <c r="AE52" s="45">
        <v>83</v>
      </c>
      <c r="AF52" s="45">
        <v>2</v>
      </c>
      <c r="AG52" s="45">
        <v>75</v>
      </c>
      <c r="AH52" s="45">
        <v>31</v>
      </c>
      <c r="AI52" s="45">
        <v>86</v>
      </c>
      <c r="AJ52" s="46">
        <f t="shared" si="2"/>
        <v>277</v>
      </c>
      <c r="AK52" s="45">
        <v>29</v>
      </c>
      <c r="AL52" s="45">
        <v>56</v>
      </c>
      <c r="AM52" s="45">
        <v>25</v>
      </c>
      <c r="AN52" s="45">
        <v>61</v>
      </c>
      <c r="AO52" s="45">
        <v>47</v>
      </c>
      <c r="AQ52" s="44">
        <v>1051</v>
      </c>
      <c r="AR52" s="44" t="s">
        <v>703</v>
      </c>
      <c r="AS52" s="45">
        <v>2</v>
      </c>
      <c r="AT52" s="45">
        <v>57</v>
      </c>
      <c r="AU52" s="45">
        <v>14</v>
      </c>
      <c r="AV52" s="45">
        <v>80</v>
      </c>
      <c r="AW52" s="45">
        <v>7</v>
      </c>
      <c r="AX52" s="48">
        <f t="shared" si="3"/>
        <v>160</v>
      </c>
      <c r="AY52" s="45">
        <v>37</v>
      </c>
      <c r="AZ52" s="45">
        <v>31</v>
      </c>
      <c r="BA52" s="45">
        <v>6</v>
      </c>
      <c r="BB52" s="45">
        <v>48</v>
      </c>
      <c r="BC52" s="45">
        <v>49</v>
      </c>
      <c r="BE52" s="44">
        <v>947</v>
      </c>
      <c r="BF52" s="44" t="s">
        <v>706</v>
      </c>
      <c r="BG52" s="45">
        <v>46</v>
      </c>
      <c r="BH52" s="45">
        <v>30</v>
      </c>
      <c r="BI52" s="45">
        <v>73</v>
      </c>
      <c r="BJ52" s="45">
        <v>9</v>
      </c>
      <c r="BK52" s="45">
        <v>17</v>
      </c>
      <c r="BL52" s="48">
        <f t="shared" si="4"/>
        <v>175</v>
      </c>
      <c r="BM52" s="45">
        <v>41</v>
      </c>
      <c r="BN52" s="45">
        <v>25</v>
      </c>
      <c r="BO52" s="45">
        <v>56</v>
      </c>
      <c r="BP52" s="45">
        <v>61</v>
      </c>
      <c r="BQ52" s="45">
        <v>5</v>
      </c>
      <c r="BS52" s="44">
        <v>635</v>
      </c>
      <c r="BT52" s="44" t="s">
        <v>701</v>
      </c>
      <c r="BU52" s="45">
        <v>11</v>
      </c>
      <c r="BV52" s="45">
        <v>29</v>
      </c>
      <c r="BW52" s="45">
        <v>34</v>
      </c>
      <c r="BX52" s="45">
        <v>30</v>
      </c>
      <c r="BY52" s="45">
        <v>67</v>
      </c>
      <c r="BZ52" s="48">
        <f t="shared" si="5"/>
        <v>171</v>
      </c>
      <c r="CA52" s="45">
        <v>4</v>
      </c>
      <c r="CB52" s="45">
        <v>58</v>
      </c>
      <c r="CC52" s="45">
        <v>39</v>
      </c>
      <c r="CD52" s="45">
        <v>83</v>
      </c>
      <c r="CE52" s="45">
        <v>41</v>
      </c>
      <c r="CG52" s="44">
        <v>530</v>
      </c>
      <c r="CH52" s="44" t="s">
        <v>699</v>
      </c>
      <c r="CI52" s="45">
        <v>79</v>
      </c>
      <c r="CJ52" s="45">
        <v>40</v>
      </c>
      <c r="CK52" s="45">
        <v>38</v>
      </c>
      <c r="CL52" s="45">
        <v>63</v>
      </c>
      <c r="CM52" s="45">
        <v>50</v>
      </c>
      <c r="CN52" s="46">
        <f t="shared" si="6"/>
        <v>270</v>
      </c>
      <c r="CO52" s="45">
        <v>55</v>
      </c>
      <c r="CP52" s="45">
        <v>64</v>
      </c>
      <c r="CQ52" s="45">
        <v>66</v>
      </c>
      <c r="CR52" s="45">
        <v>23</v>
      </c>
      <c r="CS52" s="45">
        <v>46</v>
      </c>
    </row>
    <row r="53" spans="1:97" x14ac:dyDescent="0.2">
      <c r="A53" s="49">
        <v>2042</v>
      </c>
      <c r="B53" s="49" t="s">
        <v>447</v>
      </c>
      <c r="C53" s="50">
        <v>25</v>
      </c>
      <c r="D53" s="50">
        <v>2</v>
      </c>
      <c r="E53" s="50">
        <v>49</v>
      </c>
      <c r="F53" s="50">
        <v>8</v>
      </c>
      <c r="G53" s="50">
        <v>36</v>
      </c>
      <c r="H53" s="51">
        <f t="shared" si="0"/>
        <v>120</v>
      </c>
      <c r="I53" s="50">
        <v>47</v>
      </c>
      <c r="J53" s="50">
        <v>77</v>
      </c>
      <c r="K53" s="50">
        <v>51</v>
      </c>
      <c r="L53" s="50">
        <v>19</v>
      </c>
      <c r="M53" s="50">
        <v>61</v>
      </c>
      <c r="O53" s="49">
        <v>1835</v>
      </c>
      <c r="P53" s="49" t="s">
        <v>712</v>
      </c>
      <c r="Q53" s="50">
        <v>25</v>
      </c>
      <c r="R53" s="50">
        <v>22</v>
      </c>
      <c r="S53" s="50">
        <v>87</v>
      </c>
      <c r="T53" s="50">
        <v>54</v>
      </c>
      <c r="U53" s="50">
        <v>69</v>
      </c>
      <c r="V53" s="46">
        <f t="shared" si="1"/>
        <v>257</v>
      </c>
      <c r="W53" s="50">
        <v>68</v>
      </c>
      <c r="X53" s="50">
        <v>21</v>
      </c>
      <c r="Y53" s="50">
        <v>16</v>
      </c>
      <c r="Z53" s="50">
        <v>62</v>
      </c>
      <c r="AA53" s="50">
        <v>4</v>
      </c>
      <c r="AC53" s="49">
        <v>1626</v>
      </c>
      <c r="AD53" s="49" t="s">
        <v>709</v>
      </c>
      <c r="AE53" s="50">
        <v>50</v>
      </c>
      <c r="AF53" s="50">
        <v>20</v>
      </c>
      <c r="AG53" s="50">
        <v>10</v>
      </c>
      <c r="AH53" s="50">
        <v>82</v>
      </c>
      <c r="AI53" s="50">
        <v>26</v>
      </c>
      <c r="AJ53" s="46">
        <f t="shared" si="2"/>
        <v>188</v>
      </c>
      <c r="AK53" s="50">
        <v>22</v>
      </c>
      <c r="AL53" s="50">
        <v>37</v>
      </c>
      <c r="AM53" s="50">
        <v>49</v>
      </c>
      <c r="AN53" s="50">
        <v>75</v>
      </c>
      <c r="AO53" s="50">
        <v>23</v>
      </c>
      <c r="AQ53" s="49">
        <v>1052</v>
      </c>
      <c r="AR53" s="49" t="s">
        <v>709</v>
      </c>
      <c r="AS53" s="50">
        <v>1</v>
      </c>
      <c r="AT53" s="50">
        <v>64</v>
      </c>
      <c r="AU53" s="50">
        <v>3</v>
      </c>
      <c r="AV53" s="50">
        <v>9</v>
      </c>
      <c r="AW53" s="50">
        <v>69</v>
      </c>
      <c r="AX53" s="51">
        <f t="shared" si="3"/>
        <v>146</v>
      </c>
      <c r="AY53" s="50">
        <v>82</v>
      </c>
      <c r="AZ53" s="50">
        <v>74</v>
      </c>
      <c r="BA53" s="50">
        <v>79</v>
      </c>
      <c r="BB53" s="50">
        <v>71</v>
      </c>
      <c r="BC53" s="50">
        <v>43</v>
      </c>
      <c r="BE53" s="49">
        <v>948</v>
      </c>
      <c r="BF53" s="49" t="s">
        <v>712</v>
      </c>
      <c r="BG53" s="50">
        <v>55</v>
      </c>
      <c r="BH53" s="50">
        <v>87</v>
      </c>
      <c r="BI53" s="50">
        <v>4</v>
      </c>
      <c r="BJ53" s="50">
        <v>48</v>
      </c>
      <c r="BK53" s="50">
        <v>51</v>
      </c>
      <c r="BL53" s="46">
        <f t="shared" si="4"/>
        <v>245</v>
      </c>
      <c r="BM53" s="50">
        <v>62</v>
      </c>
      <c r="BN53" s="50">
        <v>39</v>
      </c>
      <c r="BO53" s="50">
        <v>66</v>
      </c>
      <c r="BP53" s="50">
        <v>52</v>
      </c>
      <c r="BQ53" s="50">
        <v>69</v>
      </c>
      <c r="BS53" s="49">
        <v>636</v>
      </c>
      <c r="BT53" s="49" t="s">
        <v>707</v>
      </c>
      <c r="BU53" s="50">
        <v>18</v>
      </c>
      <c r="BV53" s="50">
        <v>2</v>
      </c>
      <c r="BW53" s="50">
        <v>11</v>
      </c>
      <c r="BX53" s="50">
        <v>33</v>
      </c>
      <c r="BY53" s="50">
        <v>21</v>
      </c>
      <c r="BZ53" s="51">
        <f t="shared" si="5"/>
        <v>85</v>
      </c>
      <c r="CA53" s="50">
        <v>50</v>
      </c>
      <c r="CB53" s="50">
        <v>13</v>
      </c>
      <c r="CC53" s="50">
        <v>62</v>
      </c>
      <c r="CD53" s="50">
        <v>26</v>
      </c>
      <c r="CE53" s="50">
        <v>31</v>
      </c>
      <c r="CG53" s="49">
        <v>531</v>
      </c>
      <c r="CH53" s="49" t="s">
        <v>705</v>
      </c>
      <c r="CI53" s="50">
        <v>48</v>
      </c>
      <c r="CJ53" s="50">
        <v>21</v>
      </c>
      <c r="CK53" s="50">
        <v>83</v>
      </c>
      <c r="CL53" s="50">
        <v>53</v>
      </c>
      <c r="CM53" s="50">
        <v>50</v>
      </c>
      <c r="CN53" s="46">
        <f t="shared" si="6"/>
        <v>255</v>
      </c>
      <c r="CO53" s="50">
        <v>5</v>
      </c>
      <c r="CP53" s="50">
        <v>89</v>
      </c>
      <c r="CQ53" s="50">
        <v>30</v>
      </c>
      <c r="CR53" s="50">
        <v>90</v>
      </c>
      <c r="CS53" s="50">
        <v>88</v>
      </c>
    </row>
    <row r="54" spans="1:97" x14ac:dyDescent="0.2">
      <c r="A54" s="44">
        <v>2043</v>
      </c>
      <c r="B54" s="44" t="s">
        <v>454</v>
      </c>
      <c r="C54" s="45">
        <v>45</v>
      </c>
      <c r="D54" s="45">
        <v>25</v>
      </c>
      <c r="E54" s="45">
        <v>88</v>
      </c>
      <c r="F54" s="45">
        <v>87</v>
      </c>
      <c r="G54" s="45">
        <v>23</v>
      </c>
      <c r="H54" s="46">
        <f t="shared" si="0"/>
        <v>268</v>
      </c>
      <c r="I54" s="45">
        <v>46</v>
      </c>
      <c r="J54" s="45">
        <v>90</v>
      </c>
      <c r="K54" s="45">
        <v>86</v>
      </c>
      <c r="L54" s="45">
        <v>32</v>
      </c>
      <c r="M54" s="45">
        <v>60</v>
      </c>
      <c r="O54" s="44">
        <v>1836</v>
      </c>
      <c r="P54" s="44" t="s">
        <v>718</v>
      </c>
      <c r="Q54" s="45">
        <v>19</v>
      </c>
      <c r="R54" s="45">
        <v>89</v>
      </c>
      <c r="S54" s="45">
        <v>70</v>
      </c>
      <c r="T54" s="45">
        <v>3</v>
      </c>
      <c r="U54" s="45">
        <v>31</v>
      </c>
      <c r="V54" s="46">
        <f t="shared" si="1"/>
        <v>212</v>
      </c>
      <c r="W54" s="45">
        <v>68</v>
      </c>
      <c r="X54" s="45">
        <v>42</v>
      </c>
      <c r="Y54" s="45">
        <v>12</v>
      </c>
      <c r="Z54" s="45">
        <v>1</v>
      </c>
      <c r="AA54" s="45">
        <v>23</v>
      </c>
      <c r="AC54" s="44">
        <v>1627</v>
      </c>
      <c r="AD54" s="44" t="s">
        <v>715</v>
      </c>
      <c r="AE54" s="45">
        <v>47</v>
      </c>
      <c r="AF54" s="45">
        <v>37</v>
      </c>
      <c r="AG54" s="45">
        <v>82</v>
      </c>
      <c r="AH54" s="45">
        <v>21</v>
      </c>
      <c r="AI54" s="45">
        <v>44</v>
      </c>
      <c r="AJ54" s="46">
        <f t="shared" si="2"/>
        <v>231</v>
      </c>
      <c r="AK54" s="45">
        <v>46</v>
      </c>
      <c r="AL54" s="45">
        <v>40</v>
      </c>
      <c r="AM54" s="45">
        <v>35</v>
      </c>
      <c r="AN54" s="45">
        <v>22</v>
      </c>
      <c r="AO54" s="45">
        <v>72</v>
      </c>
      <c r="AQ54" s="44">
        <v>1053</v>
      </c>
      <c r="AR54" s="44" t="s">
        <v>715</v>
      </c>
      <c r="AS54" s="45">
        <v>61</v>
      </c>
      <c r="AT54" s="45">
        <v>85</v>
      </c>
      <c r="AU54" s="45">
        <v>76</v>
      </c>
      <c r="AV54" s="45">
        <v>65</v>
      </c>
      <c r="AW54" s="45">
        <v>30</v>
      </c>
      <c r="AX54" s="46">
        <f t="shared" si="3"/>
        <v>317</v>
      </c>
      <c r="AY54" s="45">
        <v>20</v>
      </c>
      <c r="AZ54" s="45">
        <v>39</v>
      </c>
      <c r="BA54" s="45">
        <v>74</v>
      </c>
      <c r="BB54" s="45">
        <v>56</v>
      </c>
      <c r="BC54" s="45">
        <v>71</v>
      </c>
      <c r="BE54" s="44">
        <v>949</v>
      </c>
      <c r="BF54" s="44" t="s">
        <v>718</v>
      </c>
      <c r="BG54" s="45">
        <v>18</v>
      </c>
      <c r="BH54" s="45">
        <v>22</v>
      </c>
      <c r="BI54" s="45">
        <v>51</v>
      </c>
      <c r="BJ54" s="45">
        <v>20</v>
      </c>
      <c r="BK54" s="45">
        <v>42</v>
      </c>
      <c r="BL54" s="48">
        <f t="shared" si="4"/>
        <v>153</v>
      </c>
      <c r="BM54" s="45">
        <v>27</v>
      </c>
      <c r="BN54" s="45">
        <v>54</v>
      </c>
      <c r="BO54" s="45">
        <v>48</v>
      </c>
      <c r="BP54" s="45">
        <v>49</v>
      </c>
      <c r="BQ54" s="45">
        <v>31</v>
      </c>
      <c r="BS54" s="44">
        <v>637</v>
      </c>
      <c r="BT54" s="44" t="s">
        <v>713</v>
      </c>
      <c r="BU54" s="45">
        <v>70</v>
      </c>
      <c r="BV54" s="45">
        <v>41</v>
      </c>
      <c r="BW54" s="45">
        <v>75</v>
      </c>
      <c r="BX54" s="45">
        <v>49</v>
      </c>
      <c r="BY54" s="45">
        <v>76</v>
      </c>
      <c r="BZ54" s="46">
        <f t="shared" si="5"/>
        <v>311</v>
      </c>
      <c r="CA54" s="45">
        <v>2</v>
      </c>
      <c r="CB54" s="45">
        <v>13</v>
      </c>
      <c r="CC54" s="45">
        <v>18</v>
      </c>
      <c r="CD54" s="45">
        <v>58</v>
      </c>
      <c r="CE54" s="45">
        <v>26</v>
      </c>
      <c r="CG54" s="44">
        <v>532</v>
      </c>
      <c r="CH54" s="44" t="s">
        <v>711</v>
      </c>
      <c r="CI54" s="45">
        <v>12</v>
      </c>
      <c r="CJ54" s="45">
        <v>24</v>
      </c>
      <c r="CK54" s="45">
        <v>32</v>
      </c>
      <c r="CL54" s="45">
        <v>45</v>
      </c>
      <c r="CM54" s="45">
        <v>63</v>
      </c>
      <c r="CN54" s="48">
        <f t="shared" si="6"/>
        <v>176</v>
      </c>
      <c r="CO54" s="45">
        <v>4</v>
      </c>
      <c r="CP54" s="45">
        <v>29</v>
      </c>
      <c r="CQ54" s="45">
        <v>1</v>
      </c>
      <c r="CR54" s="45">
        <v>73</v>
      </c>
      <c r="CS54" s="45">
        <v>10</v>
      </c>
    </row>
    <row r="55" spans="1:97" x14ac:dyDescent="0.2">
      <c r="A55" s="49">
        <v>2044</v>
      </c>
      <c r="B55" s="49" t="s">
        <v>461</v>
      </c>
      <c r="C55" s="50">
        <v>25</v>
      </c>
      <c r="D55" s="50">
        <v>10</v>
      </c>
      <c r="E55" s="50">
        <v>78</v>
      </c>
      <c r="F55" s="50">
        <v>27</v>
      </c>
      <c r="G55" s="50">
        <v>48</v>
      </c>
      <c r="H55" s="46">
        <f t="shared" si="0"/>
        <v>188</v>
      </c>
      <c r="I55" s="50">
        <v>84</v>
      </c>
      <c r="J55" s="50">
        <v>80</v>
      </c>
      <c r="K55" s="50">
        <v>31</v>
      </c>
      <c r="L55" s="50">
        <v>87</v>
      </c>
      <c r="M55" s="50">
        <v>9</v>
      </c>
      <c r="O55" s="49">
        <v>1837</v>
      </c>
      <c r="P55" s="49" t="s">
        <v>724</v>
      </c>
      <c r="Q55" s="50">
        <v>42</v>
      </c>
      <c r="R55" s="50">
        <v>26</v>
      </c>
      <c r="S55" s="50">
        <v>87</v>
      </c>
      <c r="T55" s="50">
        <v>41</v>
      </c>
      <c r="U55" s="50">
        <v>14</v>
      </c>
      <c r="V55" s="46">
        <f t="shared" si="1"/>
        <v>210</v>
      </c>
      <c r="W55" s="50">
        <v>72</v>
      </c>
      <c r="X55" s="50">
        <v>71</v>
      </c>
      <c r="Y55" s="50">
        <v>74</v>
      </c>
      <c r="Z55" s="50">
        <v>76</v>
      </c>
      <c r="AA55" s="50">
        <v>75</v>
      </c>
      <c r="AC55" s="49">
        <v>1628</v>
      </c>
      <c r="AD55" s="49" t="s">
        <v>721</v>
      </c>
      <c r="AE55" s="50">
        <v>59</v>
      </c>
      <c r="AF55" s="50">
        <v>63</v>
      </c>
      <c r="AG55" s="50">
        <v>80</v>
      </c>
      <c r="AH55" s="50">
        <v>15</v>
      </c>
      <c r="AI55" s="50">
        <v>81</v>
      </c>
      <c r="AJ55" s="46">
        <f t="shared" si="2"/>
        <v>298</v>
      </c>
      <c r="AK55" s="50">
        <v>64</v>
      </c>
      <c r="AL55" s="50">
        <v>33</v>
      </c>
      <c r="AM55" s="50">
        <v>75</v>
      </c>
      <c r="AN55" s="50">
        <v>5</v>
      </c>
      <c r="AO55" s="50">
        <v>34</v>
      </c>
      <c r="AQ55" s="49">
        <v>1054</v>
      </c>
      <c r="AR55" s="49" t="s">
        <v>721</v>
      </c>
      <c r="AS55" s="50">
        <v>76</v>
      </c>
      <c r="AT55" s="50">
        <v>34</v>
      </c>
      <c r="AU55" s="50">
        <v>43</v>
      </c>
      <c r="AV55" s="50">
        <v>56</v>
      </c>
      <c r="AW55" s="50">
        <v>32</v>
      </c>
      <c r="AX55" s="46">
        <f t="shared" si="3"/>
        <v>241</v>
      </c>
      <c r="AY55" s="50">
        <v>54</v>
      </c>
      <c r="AZ55" s="50">
        <v>85</v>
      </c>
      <c r="BA55" s="50">
        <v>37</v>
      </c>
      <c r="BB55" s="50">
        <v>52</v>
      </c>
      <c r="BC55" s="50">
        <v>41</v>
      </c>
      <c r="BE55" s="49">
        <v>950</v>
      </c>
      <c r="BF55" s="49" t="s">
        <v>724</v>
      </c>
      <c r="BG55" s="50">
        <v>48</v>
      </c>
      <c r="BH55" s="50">
        <v>51</v>
      </c>
      <c r="BI55" s="50">
        <v>69</v>
      </c>
      <c r="BJ55" s="50">
        <v>72</v>
      </c>
      <c r="BK55" s="50">
        <v>29</v>
      </c>
      <c r="BL55" s="46">
        <f t="shared" si="4"/>
        <v>269</v>
      </c>
      <c r="BM55" s="50">
        <v>27</v>
      </c>
      <c r="BN55" s="50">
        <v>43</v>
      </c>
      <c r="BO55" s="50">
        <v>57</v>
      </c>
      <c r="BP55" s="50">
        <v>13</v>
      </c>
      <c r="BQ55" s="50">
        <v>39</v>
      </c>
      <c r="BS55" s="49">
        <v>638</v>
      </c>
      <c r="BT55" s="49" t="s">
        <v>719</v>
      </c>
      <c r="BU55" s="50">
        <v>56</v>
      </c>
      <c r="BV55" s="50">
        <v>20</v>
      </c>
      <c r="BW55" s="50">
        <v>79</v>
      </c>
      <c r="BX55" s="50">
        <v>72</v>
      </c>
      <c r="BY55" s="50">
        <v>31</v>
      </c>
      <c r="BZ55" s="46">
        <f t="shared" si="5"/>
        <v>258</v>
      </c>
      <c r="CA55" s="50">
        <v>89</v>
      </c>
      <c r="CB55" s="50">
        <v>24</v>
      </c>
      <c r="CC55" s="50">
        <v>37</v>
      </c>
      <c r="CD55" s="50">
        <v>77</v>
      </c>
      <c r="CE55" s="50">
        <v>84</v>
      </c>
      <c r="CG55" s="49">
        <v>533</v>
      </c>
      <c r="CH55" s="49" t="s">
        <v>717</v>
      </c>
      <c r="CI55" s="50">
        <v>54</v>
      </c>
      <c r="CJ55" s="50">
        <v>41</v>
      </c>
      <c r="CK55" s="50">
        <v>53</v>
      </c>
      <c r="CL55" s="50">
        <v>83</v>
      </c>
      <c r="CM55" s="50">
        <v>80</v>
      </c>
      <c r="CN55" s="46">
        <f t="shared" si="6"/>
        <v>311</v>
      </c>
      <c r="CO55" s="50">
        <v>34</v>
      </c>
      <c r="CP55" s="50">
        <v>8</v>
      </c>
      <c r="CQ55" s="50">
        <v>67</v>
      </c>
      <c r="CR55" s="50">
        <v>66</v>
      </c>
      <c r="CS55" s="50">
        <v>68</v>
      </c>
    </row>
    <row r="56" spans="1:97" x14ac:dyDescent="0.2">
      <c r="A56" s="44">
        <v>2045</v>
      </c>
      <c r="B56" s="44" t="s">
        <v>469</v>
      </c>
      <c r="C56" s="45">
        <v>16</v>
      </c>
      <c r="D56" s="45">
        <v>82</v>
      </c>
      <c r="E56" s="45">
        <v>73</v>
      </c>
      <c r="F56" s="45">
        <v>51</v>
      </c>
      <c r="G56" s="45">
        <v>52</v>
      </c>
      <c r="H56" s="46">
        <f t="shared" si="0"/>
        <v>274</v>
      </c>
      <c r="I56" s="45">
        <v>41</v>
      </c>
      <c r="J56" s="45">
        <v>35</v>
      </c>
      <c r="K56" s="45">
        <v>39</v>
      </c>
      <c r="L56" s="45">
        <v>34</v>
      </c>
      <c r="M56" s="45">
        <v>83</v>
      </c>
      <c r="O56" s="44">
        <v>1838</v>
      </c>
      <c r="P56" s="44" t="s">
        <v>730</v>
      </c>
      <c r="Q56" s="45">
        <v>90</v>
      </c>
      <c r="R56" s="45">
        <v>24</v>
      </c>
      <c r="S56" s="45">
        <v>69</v>
      </c>
      <c r="T56" s="45">
        <v>27</v>
      </c>
      <c r="U56" s="45">
        <v>49</v>
      </c>
      <c r="V56" s="46">
        <f t="shared" si="1"/>
        <v>259</v>
      </c>
      <c r="W56" s="45">
        <v>76</v>
      </c>
      <c r="X56" s="45">
        <v>60</v>
      </c>
      <c r="Y56" s="45">
        <v>88</v>
      </c>
      <c r="Z56" s="45">
        <v>59</v>
      </c>
      <c r="AA56" s="45">
        <v>19</v>
      </c>
      <c r="AC56" s="44">
        <v>1629</v>
      </c>
      <c r="AD56" s="44" t="s">
        <v>727</v>
      </c>
      <c r="AE56" s="45">
        <v>56</v>
      </c>
      <c r="AF56" s="45">
        <v>90</v>
      </c>
      <c r="AG56" s="45">
        <v>16</v>
      </c>
      <c r="AH56" s="45">
        <v>43</v>
      </c>
      <c r="AI56" s="45">
        <v>22</v>
      </c>
      <c r="AJ56" s="46">
        <f t="shared" si="2"/>
        <v>227</v>
      </c>
      <c r="AK56" s="45">
        <v>59</v>
      </c>
      <c r="AL56" s="45">
        <v>50</v>
      </c>
      <c r="AM56" s="45">
        <v>63</v>
      </c>
      <c r="AN56" s="45">
        <v>89</v>
      </c>
      <c r="AO56" s="45">
        <v>86</v>
      </c>
      <c r="AQ56" s="44">
        <v>1055</v>
      </c>
      <c r="AR56" s="44" t="s">
        <v>727</v>
      </c>
      <c r="AS56" s="45">
        <v>30</v>
      </c>
      <c r="AT56" s="45">
        <v>77</v>
      </c>
      <c r="AU56" s="45">
        <v>36</v>
      </c>
      <c r="AV56" s="45">
        <v>78</v>
      </c>
      <c r="AW56" s="45">
        <v>10</v>
      </c>
      <c r="AX56" s="46">
        <f t="shared" si="3"/>
        <v>231</v>
      </c>
      <c r="AY56" s="45">
        <v>59</v>
      </c>
      <c r="AZ56" s="45">
        <v>45</v>
      </c>
      <c r="BA56" s="45">
        <v>73</v>
      </c>
      <c r="BB56" s="45">
        <v>42</v>
      </c>
      <c r="BC56" s="45">
        <v>18</v>
      </c>
      <c r="BE56" s="44">
        <v>951</v>
      </c>
      <c r="BF56" s="44" t="s">
        <v>730</v>
      </c>
      <c r="BG56" s="45">
        <v>16</v>
      </c>
      <c r="BH56" s="45">
        <v>80</v>
      </c>
      <c r="BI56" s="45">
        <v>37</v>
      </c>
      <c r="BJ56" s="45">
        <v>26</v>
      </c>
      <c r="BK56" s="45">
        <v>81</v>
      </c>
      <c r="BL56" s="46">
        <f t="shared" si="4"/>
        <v>240</v>
      </c>
      <c r="BM56" s="45">
        <v>18</v>
      </c>
      <c r="BN56" s="45">
        <v>46</v>
      </c>
      <c r="BO56" s="45">
        <v>40</v>
      </c>
      <c r="BP56" s="45">
        <v>4</v>
      </c>
      <c r="BQ56" s="45">
        <v>63</v>
      </c>
      <c r="BS56" s="44">
        <v>639</v>
      </c>
      <c r="BT56" s="44" t="s">
        <v>725</v>
      </c>
      <c r="BU56" s="47">
        <v>42</v>
      </c>
      <c r="BV56" s="45">
        <v>63</v>
      </c>
      <c r="BW56" s="47">
        <v>24</v>
      </c>
      <c r="BX56" s="45">
        <v>4</v>
      </c>
      <c r="BY56" s="45">
        <v>11</v>
      </c>
      <c r="BZ56" s="48">
        <f t="shared" si="5"/>
        <v>144</v>
      </c>
      <c r="CA56" s="45">
        <v>8</v>
      </c>
      <c r="CB56" s="45">
        <v>1</v>
      </c>
      <c r="CC56" s="45">
        <v>73</v>
      </c>
      <c r="CD56" s="45">
        <v>46</v>
      </c>
      <c r="CE56" s="47">
        <v>57</v>
      </c>
      <c r="CG56" s="44">
        <v>534</v>
      </c>
      <c r="CH56" s="44" t="s">
        <v>723</v>
      </c>
      <c r="CI56" s="45">
        <v>16</v>
      </c>
      <c r="CJ56" s="45">
        <v>2</v>
      </c>
      <c r="CK56" s="45">
        <v>45</v>
      </c>
      <c r="CL56" s="45">
        <v>53</v>
      </c>
      <c r="CM56" s="45">
        <v>88</v>
      </c>
      <c r="CN56" s="46">
        <f t="shared" si="6"/>
        <v>204</v>
      </c>
      <c r="CO56" s="45">
        <v>46</v>
      </c>
      <c r="CP56" s="45">
        <v>69</v>
      </c>
      <c r="CQ56" s="45">
        <v>74</v>
      </c>
      <c r="CR56" s="45">
        <v>35</v>
      </c>
      <c r="CS56" s="45">
        <v>10</v>
      </c>
    </row>
    <row r="57" spans="1:97" x14ac:dyDescent="0.2">
      <c r="A57" s="49">
        <v>2046</v>
      </c>
      <c r="B57" s="49" t="s">
        <v>477</v>
      </c>
      <c r="C57" s="50">
        <v>35</v>
      </c>
      <c r="D57" s="50">
        <v>3</v>
      </c>
      <c r="E57" s="50">
        <v>16</v>
      </c>
      <c r="F57" s="50">
        <v>21</v>
      </c>
      <c r="G57" s="50">
        <v>41</v>
      </c>
      <c r="H57" s="51">
        <f t="shared" si="0"/>
        <v>116</v>
      </c>
      <c r="I57" s="50">
        <v>75</v>
      </c>
      <c r="J57" s="50">
        <v>60</v>
      </c>
      <c r="K57" s="50">
        <v>45</v>
      </c>
      <c r="L57" s="50">
        <v>53</v>
      </c>
      <c r="M57" s="50">
        <v>82</v>
      </c>
      <c r="O57" s="49">
        <v>1839</v>
      </c>
      <c r="P57" s="49" t="s">
        <v>736</v>
      </c>
      <c r="Q57" s="50">
        <v>8</v>
      </c>
      <c r="R57" s="50">
        <v>67</v>
      </c>
      <c r="S57" s="50">
        <v>77</v>
      </c>
      <c r="T57" s="50">
        <v>57</v>
      </c>
      <c r="U57" s="50">
        <v>25</v>
      </c>
      <c r="V57" s="46">
        <f t="shared" si="1"/>
        <v>234</v>
      </c>
      <c r="W57" s="50">
        <v>60</v>
      </c>
      <c r="X57" s="50">
        <v>89</v>
      </c>
      <c r="Y57" s="50">
        <v>18</v>
      </c>
      <c r="Z57" s="50">
        <v>55</v>
      </c>
      <c r="AA57" s="50">
        <v>62</v>
      </c>
      <c r="AC57" s="49">
        <v>1630</v>
      </c>
      <c r="AD57" s="49" t="s">
        <v>733</v>
      </c>
      <c r="AE57" s="50">
        <v>60</v>
      </c>
      <c r="AF57" s="50">
        <v>45</v>
      </c>
      <c r="AG57" s="50">
        <v>53</v>
      </c>
      <c r="AH57" s="50">
        <v>40</v>
      </c>
      <c r="AI57" s="50">
        <v>87</v>
      </c>
      <c r="AJ57" s="46">
        <f t="shared" si="2"/>
        <v>285</v>
      </c>
      <c r="AK57" s="50">
        <v>28</v>
      </c>
      <c r="AL57" s="50">
        <v>74</v>
      </c>
      <c r="AM57" s="50">
        <v>39</v>
      </c>
      <c r="AN57" s="50">
        <v>10</v>
      </c>
      <c r="AO57" s="50">
        <v>85</v>
      </c>
      <c r="AQ57" s="49">
        <v>1056</v>
      </c>
      <c r="AR57" s="49" t="s">
        <v>733</v>
      </c>
      <c r="AS57" s="50">
        <v>77</v>
      </c>
      <c r="AT57" s="50">
        <v>43</v>
      </c>
      <c r="AU57" s="50">
        <v>37</v>
      </c>
      <c r="AV57" s="50">
        <v>59</v>
      </c>
      <c r="AW57" s="50">
        <v>7</v>
      </c>
      <c r="AX57" s="46">
        <f t="shared" si="3"/>
        <v>223</v>
      </c>
      <c r="AY57" s="50">
        <v>15</v>
      </c>
      <c r="AZ57" s="50">
        <v>83</v>
      </c>
      <c r="BA57" s="50">
        <v>12</v>
      </c>
      <c r="BB57" s="50">
        <v>48</v>
      </c>
      <c r="BC57" s="50">
        <v>35</v>
      </c>
      <c r="BE57" s="49">
        <v>952</v>
      </c>
      <c r="BF57" s="49" t="s">
        <v>736</v>
      </c>
      <c r="BG57" s="50">
        <v>56</v>
      </c>
      <c r="BH57" s="50">
        <v>88</v>
      </c>
      <c r="BI57" s="50">
        <v>17</v>
      </c>
      <c r="BJ57" s="50">
        <v>75</v>
      </c>
      <c r="BK57" s="50">
        <v>35</v>
      </c>
      <c r="BL57" s="46">
        <f t="shared" si="4"/>
        <v>271</v>
      </c>
      <c r="BM57" s="50">
        <v>13</v>
      </c>
      <c r="BN57" s="50">
        <v>54</v>
      </c>
      <c r="BO57" s="50">
        <v>4</v>
      </c>
      <c r="BP57" s="50">
        <v>42</v>
      </c>
      <c r="BQ57" s="50">
        <v>48</v>
      </c>
      <c r="BS57" s="49">
        <v>640</v>
      </c>
      <c r="BT57" s="49" t="s">
        <v>731</v>
      </c>
      <c r="BU57" s="50">
        <v>1</v>
      </c>
      <c r="BV57" s="50">
        <v>41</v>
      </c>
      <c r="BW57" s="50">
        <v>58</v>
      </c>
      <c r="BX57" s="50">
        <v>18</v>
      </c>
      <c r="BY57" s="50">
        <v>30</v>
      </c>
      <c r="BZ57" s="51">
        <f t="shared" si="5"/>
        <v>148</v>
      </c>
      <c r="CA57" s="50">
        <v>71</v>
      </c>
      <c r="CB57" s="50">
        <v>80</v>
      </c>
      <c r="CC57" s="50">
        <v>11</v>
      </c>
      <c r="CD57" s="50">
        <v>79</v>
      </c>
      <c r="CE57" s="50">
        <v>84</v>
      </c>
      <c r="CG57" s="49">
        <v>535</v>
      </c>
      <c r="CH57" s="49" t="s">
        <v>729</v>
      </c>
      <c r="CI57" s="50">
        <v>85</v>
      </c>
      <c r="CJ57" s="50">
        <v>74</v>
      </c>
      <c r="CK57" s="50">
        <v>65</v>
      </c>
      <c r="CL57" s="50">
        <v>33</v>
      </c>
      <c r="CM57" s="50">
        <v>54</v>
      </c>
      <c r="CN57" s="46">
        <f t="shared" si="6"/>
        <v>311</v>
      </c>
      <c r="CO57" s="50">
        <v>34</v>
      </c>
      <c r="CP57" s="50">
        <v>8</v>
      </c>
      <c r="CQ57" s="50">
        <v>67</v>
      </c>
      <c r="CR57" s="50">
        <v>66</v>
      </c>
      <c r="CS57" s="50">
        <v>68</v>
      </c>
    </row>
    <row r="58" spans="1:97" x14ac:dyDescent="0.2">
      <c r="CG58" s="44">
        <v>536</v>
      </c>
      <c r="CH58" s="44" t="s">
        <v>735</v>
      </c>
      <c r="CI58" s="45">
        <v>9</v>
      </c>
      <c r="CJ58" s="45">
        <v>1</v>
      </c>
      <c r="CK58" s="45">
        <v>42</v>
      </c>
      <c r="CL58" s="45">
        <v>88</v>
      </c>
      <c r="CM58" s="45">
        <v>89</v>
      </c>
      <c r="CN58" s="46">
        <f t="shared" si="6"/>
        <v>229</v>
      </c>
      <c r="CO58" s="45">
        <v>66</v>
      </c>
      <c r="CP58" s="45">
        <v>83</v>
      </c>
      <c r="CQ58" s="45">
        <v>53</v>
      </c>
      <c r="CR58" s="45">
        <v>80</v>
      </c>
      <c r="CS58" s="45">
        <v>78</v>
      </c>
    </row>
  </sheetData>
  <mergeCells count="9">
    <mergeCell ref="A1:CS1"/>
    <mergeCell ref="A2:CS2"/>
    <mergeCell ref="A4:M4"/>
    <mergeCell ref="O4:AA4"/>
    <mergeCell ref="AC4:AO4"/>
    <mergeCell ref="AQ4:BC4"/>
    <mergeCell ref="BE4:BQ4"/>
    <mergeCell ref="BS4:CE4"/>
    <mergeCell ref="CG4:CS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7" customWidth="1"/>
    <col min="8" max="8" width="10" customWidth="1"/>
  </cols>
  <sheetData>
    <row r="1" spans="1:8" ht="26" customHeight="1" x14ac:dyDescent="0.2">
      <c r="A1" s="21" t="s">
        <v>2</v>
      </c>
      <c r="B1" s="16"/>
      <c r="C1" s="16"/>
      <c r="D1" s="16"/>
      <c r="E1" s="16"/>
      <c r="F1" s="16"/>
      <c r="G1" s="16"/>
      <c r="H1" s="16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">
      <c r="A3" s="2" t="s">
        <v>16</v>
      </c>
      <c r="B3" s="2" t="s">
        <v>17</v>
      </c>
      <c r="C3" s="3">
        <v>46</v>
      </c>
      <c r="D3" s="3">
        <v>34</v>
      </c>
      <c r="E3" s="3">
        <v>50</v>
      </c>
      <c r="F3" s="3">
        <v>40</v>
      </c>
      <c r="G3" s="3">
        <v>51</v>
      </c>
      <c r="H3" s="4">
        <f t="shared" ref="H3:H34" si="0">SUM(C3:G3)</f>
        <v>221</v>
      </c>
    </row>
    <row r="4" spans="1:8" x14ac:dyDescent="0.2">
      <c r="A4" s="2" t="s">
        <v>24</v>
      </c>
      <c r="B4" s="2" t="s">
        <v>25</v>
      </c>
      <c r="C4" s="3">
        <v>86</v>
      </c>
      <c r="D4" s="3">
        <v>45</v>
      </c>
      <c r="E4" s="3">
        <v>35</v>
      </c>
      <c r="F4" s="3">
        <v>22</v>
      </c>
      <c r="G4" s="3">
        <v>26</v>
      </c>
      <c r="H4" s="4">
        <f t="shared" si="0"/>
        <v>214</v>
      </c>
    </row>
    <row r="5" spans="1:8" x14ac:dyDescent="0.2">
      <c r="A5" s="2" t="s">
        <v>32</v>
      </c>
      <c r="B5" s="2" t="s">
        <v>33</v>
      </c>
      <c r="C5" s="3">
        <v>79</v>
      </c>
      <c r="D5" s="3">
        <v>82</v>
      </c>
      <c r="E5" s="3">
        <v>6</v>
      </c>
      <c r="F5" s="3">
        <v>68</v>
      </c>
      <c r="G5" s="3">
        <v>64</v>
      </c>
      <c r="H5" s="4">
        <f t="shared" si="0"/>
        <v>299</v>
      </c>
    </row>
    <row r="6" spans="1:8" x14ac:dyDescent="0.2">
      <c r="A6" s="2" t="s">
        <v>40</v>
      </c>
      <c r="B6" s="2" t="s">
        <v>41</v>
      </c>
      <c r="C6" s="3">
        <v>26</v>
      </c>
      <c r="D6" s="3">
        <v>12</v>
      </c>
      <c r="E6" s="3">
        <v>49</v>
      </c>
      <c r="F6" s="3">
        <v>55</v>
      </c>
      <c r="G6" s="3">
        <v>42</v>
      </c>
      <c r="H6" s="4">
        <f t="shared" si="0"/>
        <v>184</v>
      </c>
    </row>
    <row r="7" spans="1:8" x14ac:dyDescent="0.2">
      <c r="A7" s="2" t="s">
        <v>48</v>
      </c>
      <c r="B7" s="2" t="s">
        <v>49</v>
      </c>
      <c r="C7" s="3">
        <v>2</v>
      </c>
      <c r="D7" s="3">
        <v>85</v>
      </c>
      <c r="E7" s="3">
        <v>82</v>
      </c>
      <c r="F7" s="3">
        <v>42</v>
      </c>
      <c r="G7" s="3">
        <v>55</v>
      </c>
      <c r="H7" s="4">
        <f t="shared" si="0"/>
        <v>266</v>
      </c>
    </row>
    <row r="8" spans="1:8" x14ac:dyDescent="0.2">
      <c r="A8" s="2" t="s">
        <v>56</v>
      </c>
      <c r="B8" s="2" t="s">
        <v>57</v>
      </c>
      <c r="C8" s="3">
        <v>3</v>
      </c>
      <c r="D8" s="3">
        <v>47</v>
      </c>
      <c r="E8" s="3">
        <v>2</v>
      </c>
      <c r="F8" s="3">
        <v>43</v>
      </c>
      <c r="G8" s="3">
        <v>46</v>
      </c>
      <c r="H8" s="4">
        <f t="shared" si="0"/>
        <v>141</v>
      </c>
    </row>
    <row r="9" spans="1:8" x14ac:dyDescent="0.2">
      <c r="A9" s="2" t="s">
        <v>64</v>
      </c>
      <c r="B9" s="2" t="s">
        <v>65</v>
      </c>
      <c r="C9" s="3">
        <v>40</v>
      </c>
      <c r="D9" s="3">
        <v>23</v>
      </c>
      <c r="E9" s="3">
        <v>41</v>
      </c>
      <c r="F9" s="3">
        <v>81</v>
      </c>
      <c r="G9" s="3">
        <v>39</v>
      </c>
      <c r="H9" s="4">
        <f t="shared" si="0"/>
        <v>224</v>
      </c>
    </row>
    <row r="10" spans="1:8" x14ac:dyDescent="0.2">
      <c r="A10" s="2" t="s">
        <v>72</v>
      </c>
      <c r="B10" s="2" t="s">
        <v>73</v>
      </c>
      <c r="C10" s="3">
        <v>70</v>
      </c>
      <c r="D10" s="3">
        <v>51</v>
      </c>
      <c r="E10" s="3">
        <v>32</v>
      </c>
      <c r="F10" s="3">
        <v>53</v>
      </c>
      <c r="G10" s="3">
        <v>9</v>
      </c>
      <c r="H10" s="4">
        <f t="shared" si="0"/>
        <v>215</v>
      </c>
    </row>
    <row r="11" spans="1:8" x14ac:dyDescent="0.2">
      <c r="A11" s="2" t="s">
        <v>80</v>
      </c>
      <c r="B11" s="2" t="s">
        <v>81</v>
      </c>
      <c r="C11" s="3">
        <v>22</v>
      </c>
      <c r="D11" s="3">
        <v>24</v>
      </c>
      <c r="E11" s="3">
        <v>37</v>
      </c>
      <c r="F11" s="3">
        <v>36</v>
      </c>
      <c r="G11" s="3">
        <v>33</v>
      </c>
      <c r="H11" s="4">
        <f t="shared" si="0"/>
        <v>152</v>
      </c>
    </row>
    <row r="12" spans="1:8" x14ac:dyDescent="0.2">
      <c r="A12" s="2" t="s">
        <v>88</v>
      </c>
      <c r="B12" s="2" t="s">
        <v>89</v>
      </c>
      <c r="C12" s="3">
        <v>87</v>
      </c>
      <c r="D12" s="3">
        <v>35</v>
      </c>
      <c r="E12" s="3">
        <v>29</v>
      </c>
      <c r="F12" s="3">
        <v>21</v>
      </c>
      <c r="G12" s="3">
        <v>13</v>
      </c>
      <c r="H12" s="4">
        <f t="shared" si="0"/>
        <v>185</v>
      </c>
    </row>
    <row r="13" spans="1:8" x14ac:dyDescent="0.2">
      <c r="A13" s="2" t="s">
        <v>96</v>
      </c>
      <c r="B13" s="2" t="s">
        <v>97</v>
      </c>
      <c r="C13" s="3">
        <v>19</v>
      </c>
      <c r="D13" s="3">
        <v>7</v>
      </c>
      <c r="E13" s="3">
        <v>3</v>
      </c>
      <c r="F13" s="3">
        <v>83</v>
      </c>
      <c r="G13" s="3">
        <v>87</v>
      </c>
      <c r="H13" s="4">
        <f t="shared" si="0"/>
        <v>199</v>
      </c>
    </row>
    <row r="14" spans="1:8" x14ac:dyDescent="0.2">
      <c r="A14" s="2" t="s">
        <v>104</v>
      </c>
      <c r="B14" s="2" t="s">
        <v>105</v>
      </c>
      <c r="C14" s="3">
        <v>6</v>
      </c>
      <c r="D14" s="3">
        <v>55</v>
      </c>
      <c r="E14" s="3">
        <v>83</v>
      </c>
      <c r="F14" s="3">
        <v>10</v>
      </c>
      <c r="G14" s="3">
        <v>51</v>
      </c>
      <c r="H14" s="4">
        <f t="shared" si="0"/>
        <v>205</v>
      </c>
    </row>
    <row r="15" spans="1:8" x14ac:dyDescent="0.2">
      <c r="A15" s="2" t="s">
        <v>112</v>
      </c>
      <c r="B15" s="2" t="s">
        <v>113</v>
      </c>
      <c r="C15" s="3">
        <v>37</v>
      </c>
      <c r="D15" s="3">
        <v>20</v>
      </c>
      <c r="E15" s="3">
        <v>75</v>
      </c>
      <c r="F15" s="3">
        <v>71</v>
      </c>
      <c r="G15" s="3">
        <v>87</v>
      </c>
      <c r="H15" s="4">
        <f t="shared" si="0"/>
        <v>290</v>
      </c>
    </row>
    <row r="16" spans="1:8" x14ac:dyDescent="0.2">
      <c r="A16" s="2" t="s">
        <v>120</v>
      </c>
      <c r="B16" s="2" t="s">
        <v>121</v>
      </c>
      <c r="C16" s="3">
        <v>59</v>
      </c>
      <c r="D16" s="3">
        <v>40</v>
      </c>
      <c r="E16" s="3">
        <v>38</v>
      </c>
      <c r="F16" s="3">
        <v>17</v>
      </c>
      <c r="G16" s="3">
        <v>18</v>
      </c>
      <c r="H16" s="4">
        <f t="shared" si="0"/>
        <v>172</v>
      </c>
    </row>
    <row r="17" spans="1:8" x14ac:dyDescent="0.2">
      <c r="A17" s="2" t="s">
        <v>128</v>
      </c>
      <c r="B17" s="2" t="s">
        <v>129</v>
      </c>
      <c r="C17" s="3">
        <v>65</v>
      </c>
      <c r="D17" s="3">
        <v>53</v>
      </c>
      <c r="E17" s="3">
        <v>70</v>
      </c>
      <c r="F17" s="3">
        <v>19</v>
      </c>
      <c r="G17" s="3">
        <v>51</v>
      </c>
      <c r="H17" s="4">
        <f t="shared" si="0"/>
        <v>258</v>
      </c>
    </row>
    <row r="18" spans="1:8" x14ac:dyDescent="0.2">
      <c r="A18" s="2" t="s">
        <v>136</v>
      </c>
      <c r="B18" s="2" t="s">
        <v>137</v>
      </c>
      <c r="C18" s="3">
        <v>42</v>
      </c>
      <c r="D18" s="3">
        <v>45</v>
      </c>
      <c r="E18" s="3">
        <v>72</v>
      </c>
      <c r="F18" s="3">
        <v>81</v>
      </c>
      <c r="G18" s="3">
        <v>88</v>
      </c>
      <c r="H18" s="4">
        <f t="shared" si="0"/>
        <v>328</v>
      </c>
    </row>
    <row r="19" spans="1:8" x14ac:dyDescent="0.2">
      <c r="A19" s="2" t="s">
        <v>144</v>
      </c>
      <c r="B19" s="2" t="s">
        <v>145</v>
      </c>
      <c r="C19" s="3">
        <v>49</v>
      </c>
      <c r="D19" s="3">
        <v>65</v>
      </c>
      <c r="E19" s="3">
        <v>31</v>
      </c>
      <c r="F19" s="3">
        <v>44</v>
      </c>
      <c r="G19" s="3">
        <v>52</v>
      </c>
      <c r="H19" s="4">
        <f t="shared" si="0"/>
        <v>241</v>
      </c>
    </row>
    <row r="20" spans="1:8" x14ac:dyDescent="0.2">
      <c r="A20" s="2" t="s">
        <v>152</v>
      </c>
      <c r="B20" s="2" t="s">
        <v>153</v>
      </c>
      <c r="C20" s="3">
        <v>86</v>
      </c>
      <c r="D20" s="3">
        <v>61</v>
      </c>
      <c r="E20" s="3">
        <v>89</v>
      </c>
      <c r="F20" s="3">
        <v>71</v>
      </c>
      <c r="G20" s="3">
        <v>6</v>
      </c>
      <c r="H20" s="4">
        <f t="shared" si="0"/>
        <v>313</v>
      </c>
    </row>
    <row r="21" spans="1:8" x14ac:dyDescent="0.2">
      <c r="A21" s="2" t="s">
        <v>160</v>
      </c>
      <c r="B21" s="2" t="s">
        <v>161</v>
      </c>
      <c r="C21" s="3">
        <v>20</v>
      </c>
      <c r="D21" s="3">
        <v>24</v>
      </c>
      <c r="E21" s="3">
        <v>73</v>
      </c>
      <c r="F21" s="3">
        <v>43</v>
      </c>
      <c r="G21" s="3">
        <v>89</v>
      </c>
      <c r="H21" s="4">
        <f t="shared" si="0"/>
        <v>249</v>
      </c>
    </row>
    <row r="22" spans="1:8" x14ac:dyDescent="0.2">
      <c r="A22" s="2" t="s">
        <v>168</v>
      </c>
      <c r="B22" s="2" t="s">
        <v>169</v>
      </c>
      <c r="C22" s="3">
        <v>25</v>
      </c>
      <c r="D22" s="3">
        <v>41</v>
      </c>
      <c r="E22" s="3">
        <v>47</v>
      </c>
      <c r="F22" s="3">
        <v>27</v>
      </c>
      <c r="G22" s="3">
        <v>4</v>
      </c>
      <c r="H22" s="4">
        <f t="shared" si="0"/>
        <v>144</v>
      </c>
    </row>
    <row r="23" spans="1:8" x14ac:dyDescent="0.2">
      <c r="A23" s="2" t="s">
        <v>176</v>
      </c>
      <c r="B23" s="2" t="s">
        <v>177</v>
      </c>
      <c r="C23" s="3">
        <v>8</v>
      </c>
      <c r="D23" s="3">
        <v>2</v>
      </c>
      <c r="E23" s="3">
        <v>67</v>
      </c>
      <c r="F23" s="3">
        <v>81</v>
      </c>
      <c r="G23" s="3">
        <v>86</v>
      </c>
      <c r="H23" s="4">
        <f t="shared" si="0"/>
        <v>244</v>
      </c>
    </row>
    <row r="24" spans="1:8" x14ac:dyDescent="0.2">
      <c r="A24" s="2" t="s">
        <v>184</v>
      </c>
      <c r="B24" s="2" t="s">
        <v>185</v>
      </c>
      <c r="C24" s="3">
        <v>55</v>
      </c>
      <c r="D24" s="3">
        <v>10</v>
      </c>
      <c r="E24" s="3">
        <v>89</v>
      </c>
      <c r="F24" s="3">
        <v>50</v>
      </c>
      <c r="G24" s="3">
        <v>68</v>
      </c>
      <c r="H24" s="4">
        <f t="shared" si="0"/>
        <v>272</v>
      </c>
    </row>
    <row r="25" spans="1:8" x14ac:dyDescent="0.2">
      <c r="A25" s="2" t="s">
        <v>192</v>
      </c>
      <c r="B25" s="2" t="s">
        <v>193</v>
      </c>
      <c r="C25" s="3">
        <v>86</v>
      </c>
      <c r="D25" s="3">
        <v>15</v>
      </c>
      <c r="E25" s="3">
        <v>12</v>
      </c>
      <c r="F25" s="3">
        <v>55</v>
      </c>
      <c r="G25" s="3">
        <v>44</v>
      </c>
      <c r="H25" s="4">
        <f t="shared" si="0"/>
        <v>212</v>
      </c>
    </row>
    <row r="26" spans="1:8" x14ac:dyDescent="0.2">
      <c r="A26" s="2" t="s">
        <v>200</v>
      </c>
      <c r="B26" s="2" t="s">
        <v>201</v>
      </c>
      <c r="C26" s="3">
        <v>1</v>
      </c>
      <c r="D26" s="3">
        <v>70</v>
      </c>
      <c r="E26" s="3">
        <v>71</v>
      </c>
      <c r="F26" s="3">
        <v>60</v>
      </c>
      <c r="G26" s="3">
        <v>34</v>
      </c>
      <c r="H26" s="4">
        <f t="shared" si="0"/>
        <v>236</v>
      </c>
    </row>
    <row r="27" spans="1:8" x14ac:dyDescent="0.2">
      <c r="A27" s="2" t="s">
        <v>208</v>
      </c>
      <c r="B27" s="2" t="s">
        <v>209</v>
      </c>
      <c r="C27" s="3">
        <v>31</v>
      </c>
      <c r="D27" s="3">
        <v>13</v>
      </c>
      <c r="E27" s="3">
        <v>47</v>
      </c>
      <c r="F27" s="3">
        <v>50</v>
      </c>
      <c r="G27" s="3">
        <v>1</v>
      </c>
      <c r="H27" s="4">
        <f t="shared" si="0"/>
        <v>142</v>
      </c>
    </row>
    <row r="28" spans="1:8" x14ac:dyDescent="0.2">
      <c r="A28" s="2" t="s">
        <v>216</v>
      </c>
      <c r="B28" s="2" t="s">
        <v>217</v>
      </c>
      <c r="C28" s="3">
        <v>35</v>
      </c>
      <c r="D28" s="3">
        <v>66</v>
      </c>
      <c r="E28" s="3">
        <v>13</v>
      </c>
      <c r="F28" s="3">
        <v>26</v>
      </c>
      <c r="G28" s="3">
        <v>65</v>
      </c>
      <c r="H28" s="4">
        <f t="shared" si="0"/>
        <v>205</v>
      </c>
    </row>
    <row r="29" spans="1:8" x14ac:dyDescent="0.2">
      <c r="A29" s="2" t="s">
        <v>224</v>
      </c>
      <c r="B29" s="2" t="s">
        <v>225</v>
      </c>
      <c r="C29" s="3">
        <v>56</v>
      </c>
      <c r="D29" s="3">
        <v>25</v>
      </c>
      <c r="E29" s="3">
        <v>13</v>
      </c>
      <c r="F29" s="3">
        <v>76</v>
      </c>
      <c r="G29" s="3">
        <v>23</v>
      </c>
      <c r="H29" s="4">
        <f t="shared" si="0"/>
        <v>193</v>
      </c>
    </row>
    <row r="30" spans="1:8" x14ac:dyDescent="0.2">
      <c r="A30" s="2" t="s">
        <v>230</v>
      </c>
      <c r="B30" s="2" t="s">
        <v>231</v>
      </c>
      <c r="C30" s="3">
        <v>14</v>
      </c>
      <c r="D30" s="3">
        <v>57</v>
      </c>
      <c r="E30" s="3">
        <v>53</v>
      </c>
      <c r="F30" s="3">
        <v>13</v>
      </c>
      <c r="G30" s="3">
        <v>49</v>
      </c>
      <c r="H30" s="4">
        <f t="shared" si="0"/>
        <v>186</v>
      </c>
    </row>
    <row r="31" spans="1:8" x14ac:dyDescent="0.2">
      <c r="A31" s="2" t="s">
        <v>234</v>
      </c>
      <c r="B31" s="2" t="s">
        <v>235</v>
      </c>
      <c r="C31" s="3">
        <v>73</v>
      </c>
      <c r="D31" s="3">
        <v>5</v>
      </c>
      <c r="E31" s="3">
        <v>24</v>
      </c>
      <c r="F31" s="3">
        <v>10</v>
      </c>
      <c r="G31" s="3">
        <v>64</v>
      </c>
      <c r="H31" s="4">
        <f t="shared" si="0"/>
        <v>176</v>
      </c>
    </row>
    <row r="32" spans="1:8" x14ac:dyDescent="0.2">
      <c r="A32" s="2" t="s">
        <v>238</v>
      </c>
      <c r="B32" s="2" t="s">
        <v>239</v>
      </c>
      <c r="C32" s="3">
        <v>78</v>
      </c>
      <c r="D32" s="3">
        <v>34</v>
      </c>
      <c r="E32" s="3">
        <v>8</v>
      </c>
      <c r="F32" s="3">
        <v>46</v>
      </c>
      <c r="G32" s="3">
        <v>69</v>
      </c>
      <c r="H32" s="4">
        <f t="shared" si="0"/>
        <v>235</v>
      </c>
    </row>
    <row r="33" spans="1:8" x14ac:dyDescent="0.2">
      <c r="A33" s="2" t="s">
        <v>242</v>
      </c>
      <c r="B33" s="2" t="s">
        <v>243</v>
      </c>
      <c r="C33" s="3">
        <v>58</v>
      </c>
      <c r="D33" s="3">
        <v>42</v>
      </c>
      <c r="E33" s="3">
        <v>66</v>
      </c>
      <c r="F33" s="3">
        <v>69</v>
      </c>
      <c r="G33" s="3">
        <v>60</v>
      </c>
      <c r="H33" s="4">
        <f t="shared" si="0"/>
        <v>295</v>
      </c>
    </row>
    <row r="34" spans="1:8" x14ac:dyDescent="0.2">
      <c r="A34" s="2" t="s">
        <v>246</v>
      </c>
      <c r="B34" s="2" t="s">
        <v>247</v>
      </c>
      <c r="C34" s="3">
        <v>34</v>
      </c>
      <c r="D34" s="3">
        <v>45</v>
      </c>
      <c r="E34" s="3">
        <v>81</v>
      </c>
      <c r="F34" s="3">
        <v>61</v>
      </c>
      <c r="G34" s="3">
        <v>46</v>
      </c>
      <c r="H34" s="4">
        <f t="shared" si="0"/>
        <v>267</v>
      </c>
    </row>
    <row r="35" spans="1:8" x14ac:dyDescent="0.2">
      <c r="A35" s="2" t="s">
        <v>250</v>
      </c>
      <c r="B35" s="2" t="s">
        <v>251</v>
      </c>
      <c r="C35" s="3">
        <v>14</v>
      </c>
      <c r="D35" s="3">
        <v>81</v>
      </c>
      <c r="E35" s="3">
        <v>2</v>
      </c>
      <c r="F35" s="3">
        <v>13</v>
      </c>
      <c r="G35" s="3">
        <v>76</v>
      </c>
      <c r="H35" s="4">
        <f t="shared" ref="H35:H54" si="1">SUM(C35:G35)</f>
        <v>186</v>
      </c>
    </row>
    <row r="36" spans="1:8" x14ac:dyDescent="0.2">
      <c r="A36" s="2" t="s">
        <v>254</v>
      </c>
      <c r="B36" s="2" t="s">
        <v>255</v>
      </c>
      <c r="C36" s="3">
        <v>36</v>
      </c>
      <c r="D36" s="3">
        <v>3</v>
      </c>
      <c r="E36" s="3">
        <v>54</v>
      </c>
      <c r="F36" s="3">
        <v>24</v>
      </c>
      <c r="G36" s="3">
        <v>43</v>
      </c>
      <c r="H36" s="4">
        <f t="shared" si="1"/>
        <v>160</v>
      </c>
    </row>
    <row r="37" spans="1:8" x14ac:dyDescent="0.2">
      <c r="A37" s="2" t="s">
        <v>258</v>
      </c>
      <c r="B37" s="2" t="s">
        <v>259</v>
      </c>
      <c r="C37" s="3">
        <v>50</v>
      </c>
      <c r="D37" s="3">
        <v>37</v>
      </c>
      <c r="E37" s="3">
        <v>76</v>
      </c>
      <c r="F37" s="3">
        <v>31</v>
      </c>
      <c r="G37" s="3">
        <v>6</v>
      </c>
      <c r="H37" s="4">
        <f t="shared" si="1"/>
        <v>200</v>
      </c>
    </row>
    <row r="38" spans="1:8" x14ac:dyDescent="0.2">
      <c r="A38" s="2" t="s">
        <v>262</v>
      </c>
      <c r="B38" s="2" t="s">
        <v>263</v>
      </c>
      <c r="C38" s="3">
        <v>30</v>
      </c>
      <c r="D38" s="3">
        <v>86</v>
      </c>
      <c r="E38" s="3">
        <v>67</v>
      </c>
      <c r="F38" s="3">
        <v>4</v>
      </c>
      <c r="G38" s="3">
        <v>72</v>
      </c>
      <c r="H38" s="4">
        <f t="shared" si="1"/>
        <v>259</v>
      </c>
    </row>
    <row r="39" spans="1:8" x14ac:dyDescent="0.2">
      <c r="A39" s="2" t="s">
        <v>266</v>
      </c>
      <c r="B39" s="2" t="s">
        <v>267</v>
      </c>
      <c r="C39" s="3">
        <v>84</v>
      </c>
      <c r="D39" s="3">
        <v>61</v>
      </c>
      <c r="E39" s="3">
        <v>45</v>
      </c>
      <c r="F39" s="3">
        <v>52</v>
      </c>
      <c r="G39" s="3">
        <v>65</v>
      </c>
      <c r="H39" s="4">
        <f t="shared" si="1"/>
        <v>307</v>
      </c>
    </row>
    <row r="40" spans="1:8" x14ac:dyDescent="0.2">
      <c r="A40" s="2" t="s">
        <v>270</v>
      </c>
      <c r="B40" s="2" t="s">
        <v>271</v>
      </c>
      <c r="C40" s="3">
        <v>23</v>
      </c>
      <c r="D40" s="3">
        <v>42</v>
      </c>
      <c r="E40" s="3">
        <v>17</v>
      </c>
      <c r="F40" s="3">
        <v>41</v>
      </c>
      <c r="G40" s="3">
        <v>8</v>
      </c>
      <c r="H40" s="4">
        <f t="shared" si="1"/>
        <v>131</v>
      </c>
    </row>
    <row r="41" spans="1:8" x14ac:dyDescent="0.2">
      <c r="A41" s="2" t="s">
        <v>274</v>
      </c>
      <c r="B41" s="2" t="s">
        <v>275</v>
      </c>
      <c r="C41" s="3">
        <v>58</v>
      </c>
      <c r="D41" s="3">
        <v>41</v>
      </c>
      <c r="E41" s="3">
        <v>5</v>
      </c>
      <c r="F41" s="3">
        <v>88</v>
      </c>
      <c r="G41" s="3">
        <v>13</v>
      </c>
      <c r="H41" s="4">
        <f t="shared" si="1"/>
        <v>205</v>
      </c>
    </row>
    <row r="42" spans="1:8" x14ac:dyDescent="0.2">
      <c r="A42" s="2" t="s">
        <v>278</v>
      </c>
      <c r="B42" s="2" t="s">
        <v>279</v>
      </c>
      <c r="C42" s="3">
        <v>70</v>
      </c>
      <c r="D42" s="3">
        <v>10</v>
      </c>
      <c r="E42" s="3">
        <v>26</v>
      </c>
      <c r="F42" s="3">
        <v>7</v>
      </c>
      <c r="G42" s="3">
        <v>34</v>
      </c>
      <c r="H42" s="4">
        <f t="shared" si="1"/>
        <v>147</v>
      </c>
    </row>
    <row r="43" spans="1:8" x14ac:dyDescent="0.2">
      <c r="A43" s="2" t="s">
        <v>282</v>
      </c>
      <c r="B43" s="2" t="s">
        <v>283</v>
      </c>
      <c r="C43" s="3">
        <v>68</v>
      </c>
      <c r="D43" s="3">
        <v>66</v>
      </c>
      <c r="E43" s="3">
        <v>61</v>
      </c>
      <c r="F43" s="3">
        <v>74</v>
      </c>
      <c r="G43" s="3">
        <v>80</v>
      </c>
      <c r="H43" s="4">
        <f t="shared" si="1"/>
        <v>349</v>
      </c>
    </row>
    <row r="44" spans="1:8" x14ac:dyDescent="0.2">
      <c r="A44" s="2" t="s">
        <v>286</v>
      </c>
      <c r="B44" s="2" t="s">
        <v>287</v>
      </c>
      <c r="C44" s="3">
        <v>32</v>
      </c>
      <c r="D44" s="3">
        <v>89</v>
      </c>
      <c r="E44" s="3">
        <v>1</v>
      </c>
      <c r="F44" s="3">
        <v>52</v>
      </c>
      <c r="G44" s="3">
        <v>81</v>
      </c>
      <c r="H44" s="4">
        <f t="shared" si="1"/>
        <v>255</v>
      </c>
    </row>
    <row r="45" spans="1:8" x14ac:dyDescent="0.2">
      <c r="A45" s="2" t="s">
        <v>290</v>
      </c>
      <c r="B45" s="2" t="s">
        <v>291</v>
      </c>
      <c r="C45" s="3">
        <v>55</v>
      </c>
      <c r="D45" s="3">
        <v>67</v>
      </c>
      <c r="E45" s="3">
        <v>69</v>
      </c>
      <c r="F45" s="3">
        <v>22</v>
      </c>
      <c r="G45" s="3">
        <v>61</v>
      </c>
      <c r="H45" s="4">
        <f t="shared" si="1"/>
        <v>274</v>
      </c>
    </row>
    <row r="46" spans="1:8" x14ac:dyDescent="0.2">
      <c r="A46" s="2" t="s">
        <v>294</v>
      </c>
      <c r="B46" s="2" t="s">
        <v>295</v>
      </c>
      <c r="C46" s="3">
        <v>62</v>
      </c>
      <c r="D46" s="3">
        <v>60</v>
      </c>
      <c r="E46" s="3">
        <v>63</v>
      </c>
      <c r="F46" s="3">
        <v>7</v>
      </c>
      <c r="G46" s="3">
        <v>1</v>
      </c>
      <c r="H46" s="4">
        <f t="shared" si="1"/>
        <v>193</v>
      </c>
    </row>
    <row r="47" spans="1:8" x14ac:dyDescent="0.2">
      <c r="A47" s="2" t="s">
        <v>298</v>
      </c>
      <c r="B47" s="2" t="s">
        <v>299</v>
      </c>
      <c r="C47" s="3">
        <v>64</v>
      </c>
      <c r="D47" s="3">
        <v>66</v>
      </c>
      <c r="E47" s="3">
        <v>48</v>
      </c>
      <c r="F47" s="3">
        <v>1</v>
      </c>
      <c r="G47" s="3">
        <v>69</v>
      </c>
      <c r="H47" s="4">
        <f t="shared" si="1"/>
        <v>248</v>
      </c>
    </row>
    <row r="48" spans="1:8" x14ac:dyDescent="0.2">
      <c r="A48" s="2" t="s">
        <v>302</v>
      </c>
      <c r="B48" s="2" t="s">
        <v>303</v>
      </c>
      <c r="C48" s="3">
        <v>20</v>
      </c>
      <c r="D48" s="3">
        <v>50</v>
      </c>
      <c r="E48" s="3">
        <v>6</v>
      </c>
      <c r="F48" s="3">
        <v>16</v>
      </c>
      <c r="G48" s="3">
        <v>65</v>
      </c>
      <c r="H48" s="4">
        <f t="shared" si="1"/>
        <v>157</v>
      </c>
    </row>
    <row r="49" spans="1:8" x14ac:dyDescent="0.2">
      <c r="A49" s="2" t="s">
        <v>306</v>
      </c>
      <c r="B49" s="2" t="s">
        <v>307</v>
      </c>
      <c r="C49" s="3">
        <v>84</v>
      </c>
      <c r="D49" s="3">
        <v>4</v>
      </c>
      <c r="E49" s="3">
        <v>79</v>
      </c>
      <c r="F49" s="3">
        <v>10</v>
      </c>
      <c r="G49" s="3">
        <v>63</v>
      </c>
      <c r="H49" s="4">
        <f t="shared" si="1"/>
        <v>240</v>
      </c>
    </row>
    <row r="50" spans="1:8" x14ac:dyDescent="0.2">
      <c r="A50" s="2" t="s">
        <v>310</v>
      </c>
      <c r="B50" s="2" t="s">
        <v>311</v>
      </c>
      <c r="C50" s="3">
        <v>38</v>
      </c>
      <c r="D50" s="3">
        <v>2</v>
      </c>
      <c r="E50" s="3">
        <v>8</v>
      </c>
      <c r="F50" s="3">
        <v>73</v>
      </c>
      <c r="G50" s="3">
        <v>72</v>
      </c>
      <c r="H50" s="4">
        <f t="shared" si="1"/>
        <v>193</v>
      </c>
    </row>
    <row r="51" spans="1:8" x14ac:dyDescent="0.2">
      <c r="A51" s="2" t="s">
        <v>314</v>
      </c>
      <c r="B51" s="2" t="s">
        <v>315</v>
      </c>
      <c r="C51" s="3">
        <v>71</v>
      </c>
      <c r="D51" s="3">
        <v>61</v>
      </c>
      <c r="E51" s="3">
        <v>68</v>
      </c>
      <c r="F51" s="3">
        <v>17</v>
      </c>
      <c r="G51" s="3">
        <v>28</v>
      </c>
      <c r="H51" s="4">
        <f t="shared" si="1"/>
        <v>245</v>
      </c>
    </row>
    <row r="52" spans="1:8" x14ac:dyDescent="0.2">
      <c r="A52" s="2" t="s">
        <v>318</v>
      </c>
      <c r="B52" s="2" t="s">
        <v>319</v>
      </c>
      <c r="C52" s="3">
        <v>4</v>
      </c>
      <c r="D52" s="3">
        <v>24</v>
      </c>
      <c r="E52" s="3">
        <v>80</v>
      </c>
      <c r="F52" s="3">
        <v>45</v>
      </c>
      <c r="G52" s="3">
        <v>60</v>
      </c>
      <c r="H52" s="4">
        <f t="shared" si="1"/>
        <v>213</v>
      </c>
    </row>
    <row r="53" spans="1:8" x14ac:dyDescent="0.2">
      <c r="A53" s="2" t="s">
        <v>322</v>
      </c>
      <c r="B53" s="2" t="s">
        <v>323</v>
      </c>
      <c r="C53" s="3">
        <v>36</v>
      </c>
      <c r="D53" s="3">
        <v>67</v>
      </c>
      <c r="E53" s="3">
        <v>37</v>
      </c>
      <c r="F53" s="3">
        <v>58</v>
      </c>
      <c r="G53" s="3">
        <v>87</v>
      </c>
      <c r="H53" s="4">
        <f t="shared" si="1"/>
        <v>285</v>
      </c>
    </row>
    <row r="54" spans="1:8" x14ac:dyDescent="0.2">
      <c r="A54" s="2" t="s">
        <v>326</v>
      </c>
      <c r="B54" s="2" t="s">
        <v>327</v>
      </c>
      <c r="C54" s="3">
        <v>29</v>
      </c>
      <c r="D54" s="3">
        <v>38</v>
      </c>
      <c r="E54" s="3">
        <v>57</v>
      </c>
      <c r="F54" s="3">
        <v>90</v>
      </c>
      <c r="G54" s="3">
        <v>31</v>
      </c>
      <c r="H54" s="4">
        <f t="shared" si="1"/>
        <v>245</v>
      </c>
    </row>
    <row r="57" spans="1:8" x14ac:dyDescent="0.2">
      <c r="A57" s="29" t="s">
        <v>340</v>
      </c>
      <c r="B57" s="16"/>
      <c r="C57" s="16"/>
      <c r="D57" s="16"/>
      <c r="E57" s="16"/>
      <c r="F57" s="16"/>
      <c r="G57" s="16"/>
      <c r="H57" s="16"/>
    </row>
    <row r="58" spans="1:8" x14ac:dyDescent="0.2">
      <c r="A58" s="24" t="s">
        <v>329</v>
      </c>
      <c r="B58" s="25"/>
      <c r="C58" s="25"/>
      <c r="D58" s="26"/>
      <c r="E58" s="16"/>
      <c r="F58" s="16"/>
      <c r="G58" s="16"/>
      <c r="H58" s="16"/>
    </row>
    <row r="59" spans="1:8" x14ac:dyDescent="0.2">
      <c r="A59" s="24" t="s">
        <v>330</v>
      </c>
      <c r="B59" s="25"/>
      <c r="C59" s="25"/>
      <c r="D59" s="26"/>
      <c r="E59" s="16"/>
      <c r="F59" s="16"/>
      <c r="G59" s="16"/>
      <c r="H59" s="16"/>
    </row>
    <row r="60" spans="1:8" x14ac:dyDescent="0.2">
      <c r="A60" s="24" t="s">
        <v>331</v>
      </c>
      <c r="B60" s="25"/>
      <c r="C60" s="25"/>
      <c r="D60" s="26"/>
      <c r="E60" s="16"/>
      <c r="F60" s="16"/>
      <c r="G60" s="16"/>
      <c r="H60" s="16"/>
    </row>
    <row r="61" spans="1:8" x14ac:dyDescent="0.2">
      <c r="A61" s="24" t="s">
        <v>332</v>
      </c>
      <c r="B61" s="25"/>
      <c r="C61" s="25"/>
      <c r="D61" s="26"/>
      <c r="E61" s="16"/>
      <c r="F61" s="16"/>
      <c r="G61" s="16"/>
      <c r="H61" s="16"/>
    </row>
    <row r="62" spans="1:8" x14ac:dyDescent="0.2">
      <c r="A62" s="24" t="s">
        <v>333</v>
      </c>
      <c r="B62" s="25"/>
      <c r="C62" s="25"/>
      <c r="D62" s="26"/>
      <c r="E62" s="16"/>
      <c r="F62" s="16"/>
      <c r="G62" s="16"/>
      <c r="H62" s="16"/>
    </row>
    <row r="63" spans="1:8" x14ac:dyDescent="0.2">
      <c r="A63" s="24" t="s">
        <v>334</v>
      </c>
      <c r="B63" s="25"/>
      <c r="C63" s="25"/>
      <c r="D63" s="26"/>
      <c r="E63" s="16"/>
      <c r="F63" s="16"/>
      <c r="G63" s="16"/>
      <c r="H63" s="16"/>
    </row>
    <row r="64" spans="1:8" x14ac:dyDescent="0.2">
      <c r="A64" s="24" t="s">
        <v>335</v>
      </c>
      <c r="B64" s="25"/>
      <c r="C64" s="25"/>
      <c r="D64" s="26"/>
      <c r="E64" s="16"/>
      <c r="F64" s="16"/>
      <c r="G64" s="16"/>
      <c r="H64" s="16"/>
    </row>
    <row r="65" spans="1:8" x14ac:dyDescent="0.2">
      <c r="A65" s="24" t="s">
        <v>336</v>
      </c>
      <c r="B65" s="25"/>
      <c r="C65" s="25"/>
      <c r="D65" s="26"/>
      <c r="E65" s="16"/>
      <c r="F65" s="16"/>
      <c r="G65" s="16"/>
      <c r="H65" s="16"/>
    </row>
    <row r="66" spans="1:8" x14ac:dyDescent="0.2">
      <c r="A66" s="24" t="s">
        <v>337</v>
      </c>
      <c r="B66" s="25"/>
      <c r="C66" s="25"/>
      <c r="D66" s="26"/>
      <c r="E66" s="16"/>
      <c r="F66" s="16"/>
      <c r="G66" s="16"/>
      <c r="H66" s="16"/>
    </row>
    <row r="67" spans="1:8" x14ac:dyDescent="0.2">
      <c r="A67" s="24" t="s">
        <v>338</v>
      </c>
      <c r="B67" s="25"/>
      <c r="C67" s="25"/>
      <c r="D67" s="26"/>
      <c r="E67" s="16"/>
      <c r="F67" s="16"/>
      <c r="G67" s="16"/>
      <c r="H67" s="16"/>
    </row>
  </sheetData>
  <mergeCells count="22">
    <mergeCell ref="E61:H61"/>
    <mergeCell ref="A62:D62"/>
    <mergeCell ref="A1:H1"/>
    <mergeCell ref="A63:D63"/>
    <mergeCell ref="E66:H66"/>
    <mergeCell ref="A57:H57"/>
    <mergeCell ref="A67:D67"/>
    <mergeCell ref="A58:D58"/>
    <mergeCell ref="E58:H58"/>
    <mergeCell ref="A64:D64"/>
    <mergeCell ref="A59:D59"/>
    <mergeCell ref="E62:H62"/>
    <mergeCell ref="E67:H67"/>
    <mergeCell ref="A60:D60"/>
    <mergeCell ref="A61:D61"/>
    <mergeCell ref="E64:H64"/>
    <mergeCell ref="A65:D65"/>
    <mergeCell ref="E63:H63"/>
    <mergeCell ref="A66:D66"/>
    <mergeCell ref="E60:H60"/>
    <mergeCell ref="E65:H65"/>
    <mergeCell ref="E59:H5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7" customWidth="1"/>
    <col min="8" max="8" width="10" customWidth="1"/>
  </cols>
  <sheetData>
    <row r="1" spans="1:8" ht="26" customHeight="1" x14ac:dyDescent="0.2">
      <c r="A1" s="22" t="s">
        <v>3</v>
      </c>
      <c r="B1" s="16"/>
      <c r="C1" s="16"/>
      <c r="D1" s="16"/>
      <c r="E1" s="16"/>
      <c r="F1" s="16"/>
      <c r="G1" s="16"/>
      <c r="H1" s="16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">
      <c r="A3" s="2" t="s">
        <v>18</v>
      </c>
      <c r="B3" s="2" t="s">
        <v>19</v>
      </c>
      <c r="C3" s="3">
        <v>67</v>
      </c>
      <c r="D3" s="3">
        <v>6</v>
      </c>
      <c r="E3" s="3">
        <v>90</v>
      </c>
      <c r="F3" s="3">
        <v>72</v>
      </c>
      <c r="G3" s="3">
        <v>47</v>
      </c>
      <c r="H3" s="4">
        <f t="shared" ref="H3:H29" si="0">SUM(C3:G3)</f>
        <v>282</v>
      </c>
    </row>
    <row r="4" spans="1:8" x14ac:dyDescent="0.2">
      <c r="A4" s="2" t="s">
        <v>26</v>
      </c>
      <c r="B4" s="2" t="s">
        <v>27</v>
      </c>
      <c r="C4" s="3">
        <v>82</v>
      </c>
      <c r="D4" s="3">
        <v>55</v>
      </c>
      <c r="E4" s="3">
        <v>31</v>
      </c>
      <c r="F4" s="3">
        <v>34</v>
      </c>
      <c r="G4" s="3">
        <v>86</v>
      </c>
      <c r="H4" s="4">
        <f t="shared" si="0"/>
        <v>288</v>
      </c>
    </row>
    <row r="5" spans="1:8" x14ac:dyDescent="0.2">
      <c r="A5" s="2" t="s">
        <v>34</v>
      </c>
      <c r="B5" s="2" t="s">
        <v>35</v>
      </c>
      <c r="C5" s="3">
        <v>28</v>
      </c>
      <c r="D5" s="3">
        <v>37</v>
      </c>
      <c r="E5" s="3">
        <v>58</v>
      </c>
      <c r="F5" s="3">
        <v>64</v>
      </c>
      <c r="G5" s="3">
        <v>52</v>
      </c>
      <c r="H5" s="4">
        <f t="shared" si="0"/>
        <v>239</v>
      </c>
    </row>
    <row r="6" spans="1:8" x14ac:dyDescent="0.2">
      <c r="A6" s="2" t="s">
        <v>42</v>
      </c>
      <c r="B6" s="2" t="s">
        <v>43</v>
      </c>
      <c r="C6" s="3">
        <v>31</v>
      </c>
      <c r="D6" s="3">
        <v>52</v>
      </c>
      <c r="E6" s="3">
        <v>77</v>
      </c>
      <c r="F6" s="3">
        <v>13</v>
      </c>
      <c r="G6" s="3">
        <v>33</v>
      </c>
      <c r="H6" s="4">
        <f t="shared" si="0"/>
        <v>206</v>
      </c>
    </row>
    <row r="7" spans="1:8" x14ac:dyDescent="0.2">
      <c r="A7" s="2" t="s">
        <v>50</v>
      </c>
      <c r="B7" s="2" t="s">
        <v>51</v>
      </c>
      <c r="C7" s="3">
        <v>33</v>
      </c>
      <c r="D7" s="3">
        <v>4</v>
      </c>
      <c r="E7" s="3">
        <v>12</v>
      </c>
      <c r="F7" s="3">
        <v>22</v>
      </c>
      <c r="G7" s="3">
        <v>58</v>
      </c>
      <c r="H7" s="4">
        <f t="shared" si="0"/>
        <v>129</v>
      </c>
    </row>
    <row r="8" spans="1:8" x14ac:dyDescent="0.2">
      <c r="A8" s="2" t="s">
        <v>58</v>
      </c>
      <c r="B8" s="2" t="s">
        <v>59</v>
      </c>
      <c r="C8" s="3">
        <v>63</v>
      </c>
      <c r="D8" s="3">
        <v>1</v>
      </c>
      <c r="E8" s="3">
        <v>35</v>
      </c>
      <c r="F8" s="3">
        <v>86</v>
      </c>
      <c r="G8" s="3">
        <v>55</v>
      </c>
      <c r="H8" s="4">
        <f t="shared" si="0"/>
        <v>240</v>
      </c>
    </row>
    <row r="9" spans="1:8" x14ac:dyDescent="0.2">
      <c r="A9" s="2" t="s">
        <v>66</v>
      </c>
      <c r="B9" s="2" t="s">
        <v>67</v>
      </c>
      <c r="C9" s="3">
        <v>2</v>
      </c>
      <c r="D9" s="3">
        <v>76</v>
      </c>
      <c r="E9" s="3">
        <v>9</v>
      </c>
      <c r="F9" s="3">
        <v>22</v>
      </c>
      <c r="G9" s="3">
        <v>48</v>
      </c>
      <c r="H9" s="4">
        <f t="shared" si="0"/>
        <v>157</v>
      </c>
    </row>
    <row r="10" spans="1:8" x14ac:dyDescent="0.2">
      <c r="A10" s="2" t="s">
        <v>74</v>
      </c>
      <c r="B10" s="2" t="s">
        <v>75</v>
      </c>
      <c r="C10" s="3">
        <v>27</v>
      </c>
      <c r="D10" s="3">
        <v>89</v>
      </c>
      <c r="E10" s="3">
        <v>59</v>
      </c>
      <c r="F10" s="3">
        <v>49</v>
      </c>
      <c r="G10" s="3">
        <v>46</v>
      </c>
      <c r="H10" s="4">
        <f t="shared" si="0"/>
        <v>270</v>
      </c>
    </row>
    <row r="11" spans="1:8" x14ac:dyDescent="0.2">
      <c r="A11" s="2" t="s">
        <v>82</v>
      </c>
      <c r="B11" s="2" t="s">
        <v>83</v>
      </c>
      <c r="C11" s="3">
        <v>15</v>
      </c>
      <c r="D11" s="3">
        <v>87</v>
      </c>
      <c r="E11" s="3">
        <v>23</v>
      </c>
      <c r="F11" s="3">
        <v>14</v>
      </c>
      <c r="G11" s="3">
        <v>74</v>
      </c>
      <c r="H11" s="4">
        <f t="shared" si="0"/>
        <v>213</v>
      </c>
    </row>
    <row r="12" spans="1:8" x14ac:dyDescent="0.2">
      <c r="A12" s="2" t="s">
        <v>90</v>
      </c>
      <c r="B12" s="2" t="s">
        <v>91</v>
      </c>
      <c r="C12" s="3">
        <v>7</v>
      </c>
      <c r="D12" s="3">
        <v>69</v>
      </c>
      <c r="E12" s="3">
        <v>20</v>
      </c>
      <c r="F12" s="3">
        <v>25</v>
      </c>
      <c r="G12" s="3">
        <v>66</v>
      </c>
      <c r="H12" s="4">
        <f t="shared" si="0"/>
        <v>187</v>
      </c>
    </row>
    <row r="13" spans="1:8" x14ac:dyDescent="0.2">
      <c r="A13" s="2" t="s">
        <v>98</v>
      </c>
      <c r="B13" s="2" t="s">
        <v>99</v>
      </c>
      <c r="C13" s="3">
        <v>9</v>
      </c>
      <c r="D13" s="3">
        <v>35</v>
      </c>
      <c r="E13" s="3">
        <v>45</v>
      </c>
      <c r="F13" s="3">
        <v>32</v>
      </c>
      <c r="G13" s="3">
        <v>52</v>
      </c>
      <c r="H13" s="4">
        <f t="shared" si="0"/>
        <v>173</v>
      </c>
    </row>
    <row r="14" spans="1:8" x14ac:dyDescent="0.2">
      <c r="A14" s="2" t="s">
        <v>106</v>
      </c>
      <c r="B14" s="2" t="s">
        <v>107</v>
      </c>
      <c r="C14" s="3">
        <v>88</v>
      </c>
      <c r="D14" s="3">
        <v>14</v>
      </c>
      <c r="E14" s="3">
        <v>9</v>
      </c>
      <c r="F14" s="3">
        <v>70</v>
      </c>
      <c r="G14" s="3">
        <v>21</v>
      </c>
      <c r="H14" s="4">
        <f t="shared" si="0"/>
        <v>202</v>
      </c>
    </row>
    <row r="15" spans="1:8" x14ac:dyDescent="0.2">
      <c r="A15" s="2" t="s">
        <v>114</v>
      </c>
      <c r="B15" s="2" t="s">
        <v>115</v>
      </c>
      <c r="C15" s="3">
        <v>63</v>
      </c>
      <c r="D15" s="3">
        <v>83</v>
      </c>
      <c r="E15" s="3">
        <v>8</v>
      </c>
      <c r="F15" s="3">
        <v>73</v>
      </c>
      <c r="G15" s="3">
        <v>51</v>
      </c>
      <c r="H15" s="4">
        <f t="shared" si="0"/>
        <v>278</v>
      </c>
    </row>
    <row r="16" spans="1:8" x14ac:dyDescent="0.2">
      <c r="A16" s="2" t="s">
        <v>122</v>
      </c>
      <c r="B16" s="2" t="s">
        <v>123</v>
      </c>
      <c r="C16" s="3">
        <v>43</v>
      </c>
      <c r="D16" s="3">
        <v>77</v>
      </c>
      <c r="E16" s="3">
        <v>51</v>
      </c>
      <c r="F16" s="3">
        <v>26</v>
      </c>
      <c r="G16" s="3">
        <v>21</v>
      </c>
      <c r="H16" s="4">
        <f t="shared" si="0"/>
        <v>218</v>
      </c>
    </row>
    <row r="17" spans="1:8" x14ac:dyDescent="0.2">
      <c r="A17" s="2" t="s">
        <v>130</v>
      </c>
      <c r="B17" s="2" t="s">
        <v>131</v>
      </c>
      <c r="C17" s="3">
        <v>82</v>
      </c>
      <c r="D17" s="3">
        <v>69</v>
      </c>
      <c r="E17" s="3">
        <v>5</v>
      </c>
      <c r="F17" s="3">
        <v>42</v>
      </c>
      <c r="G17" s="3">
        <v>59</v>
      </c>
      <c r="H17" s="4">
        <f t="shared" si="0"/>
        <v>257</v>
      </c>
    </row>
    <row r="18" spans="1:8" x14ac:dyDescent="0.2">
      <c r="A18" s="2" t="s">
        <v>138</v>
      </c>
      <c r="B18" s="2" t="s">
        <v>139</v>
      </c>
      <c r="C18" s="3">
        <v>49</v>
      </c>
      <c r="D18" s="3">
        <v>7</v>
      </c>
      <c r="E18" s="3">
        <v>45</v>
      </c>
      <c r="F18" s="3">
        <v>52</v>
      </c>
      <c r="G18" s="3">
        <v>89</v>
      </c>
      <c r="H18" s="4">
        <f t="shared" si="0"/>
        <v>242</v>
      </c>
    </row>
    <row r="19" spans="1:8" x14ac:dyDescent="0.2">
      <c r="A19" s="2" t="s">
        <v>146</v>
      </c>
      <c r="B19" s="2" t="s">
        <v>147</v>
      </c>
      <c r="C19" s="3">
        <v>35</v>
      </c>
      <c r="D19" s="3">
        <v>59</v>
      </c>
      <c r="E19" s="3">
        <v>9</v>
      </c>
      <c r="F19" s="3">
        <v>52</v>
      </c>
      <c r="G19" s="3">
        <v>42</v>
      </c>
      <c r="H19" s="4">
        <f t="shared" si="0"/>
        <v>197</v>
      </c>
    </row>
    <row r="20" spans="1:8" x14ac:dyDescent="0.2">
      <c r="A20" s="2" t="s">
        <v>154</v>
      </c>
      <c r="B20" s="2" t="s">
        <v>155</v>
      </c>
      <c r="C20" s="3">
        <v>30</v>
      </c>
      <c r="D20" s="3">
        <v>41</v>
      </c>
      <c r="E20" s="3">
        <v>7</v>
      </c>
      <c r="F20" s="3">
        <v>56</v>
      </c>
      <c r="G20" s="3">
        <v>14</v>
      </c>
      <c r="H20" s="4">
        <f t="shared" si="0"/>
        <v>148</v>
      </c>
    </row>
    <row r="21" spans="1:8" x14ac:dyDescent="0.2">
      <c r="A21" s="2" t="s">
        <v>162</v>
      </c>
      <c r="B21" s="2" t="s">
        <v>163</v>
      </c>
      <c r="C21" s="3">
        <v>9</v>
      </c>
      <c r="D21" s="3">
        <v>38</v>
      </c>
      <c r="E21" s="3">
        <v>35</v>
      </c>
      <c r="F21" s="3">
        <v>17</v>
      </c>
      <c r="G21" s="3">
        <v>71</v>
      </c>
      <c r="H21" s="4">
        <f t="shared" si="0"/>
        <v>170</v>
      </c>
    </row>
    <row r="22" spans="1:8" x14ac:dyDescent="0.2">
      <c r="A22" s="2" t="s">
        <v>170</v>
      </c>
      <c r="B22" s="2" t="s">
        <v>171</v>
      </c>
      <c r="C22" s="3">
        <v>31</v>
      </c>
      <c r="D22" s="3">
        <v>12</v>
      </c>
      <c r="E22" s="3">
        <v>13</v>
      </c>
      <c r="F22" s="3">
        <v>43</v>
      </c>
      <c r="G22" s="3">
        <v>59</v>
      </c>
      <c r="H22" s="4">
        <f t="shared" si="0"/>
        <v>158</v>
      </c>
    </row>
    <row r="23" spans="1:8" x14ac:dyDescent="0.2">
      <c r="A23" s="2" t="s">
        <v>178</v>
      </c>
      <c r="B23" s="2" t="s">
        <v>179</v>
      </c>
      <c r="C23" s="3">
        <v>64</v>
      </c>
      <c r="D23" s="3">
        <v>69</v>
      </c>
      <c r="E23" s="3">
        <v>48</v>
      </c>
      <c r="F23" s="3">
        <v>73</v>
      </c>
      <c r="G23" s="3">
        <v>77</v>
      </c>
      <c r="H23" s="4">
        <f t="shared" si="0"/>
        <v>331</v>
      </c>
    </row>
    <row r="24" spans="1:8" x14ac:dyDescent="0.2">
      <c r="A24" s="2" t="s">
        <v>186</v>
      </c>
      <c r="B24" s="2" t="s">
        <v>187</v>
      </c>
      <c r="C24" s="3">
        <v>44</v>
      </c>
      <c r="D24" s="3">
        <v>26</v>
      </c>
      <c r="E24" s="3">
        <v>86</v>
      </c>
      <c r="F24" s="3">
        <v>74</v>
      </c>
      <c r="G24" s="3">
        <v>80</v>
      </c>
      <c r="H24" s="4">
        <f t="shared" si="0"/>
        <v>310</v>
      </c>
    </row>
    <row r="25" spans="1:8" x14ac:dyDescent="0.2">
      <c r="A25" s="2" t="s">
        <v>194</v>
      </c>
      <c r="B25" s="2" t="s">
        <v>195</v>
      </c>
      <c r="C25" s="3">
        <v>33</v>
      </c>
      <c r="D25" s="3">
        <v>86</v>
      </c>
      <c r="E25" s="3">
        <v>40</v>
      </c>
      <c r="F25" s="3">
        <v>79</v>
      </c>
      <c r="G25" s="3">
        <v>88</v>
      </c>
      <c r="H25" s="4">
        <f t="shared" si="0"/>
        <v>326</v>
      </c>
    </row>
    <row r="26" spans="1:8" x14ac:dyDescent="0.2">
      <c r="A26" s="2" t="s">
        <v>202</v>
      </c>
      <c r="B26" s="2" t="s">
        <v>203</v>
      </c>
      <c r="C26" s="3">
        <v>53</v>
      </c>
      <c r="D26" s="3">
        <v>84</v>
      </c>
      <c r="E26" s="3">
        <v>78</v>
      </c>
      <c r="F26" s="3">
        <v>48</v>
      </c>
      <c r="G26" s="3">
        <v>34</v>
      </c>
      <c r="H26" s="4">
        <f t="shared" si="0"/>
        <v>297</v>
      </c>
    </row>
    <row r="27" spans="1:8" x14ac:dyDescent="0.2">
      <c r="A27" s="2" t="s">
        <v>210</v>
      </c>
      <c r="B27" s="2" t="s">
        <v>211</v>
      </c>
      <c r="C27" s="3">
        <v>29</v>
      </c>
      <c r="D27" s="3">
        <v>78</v>
      </c>
      <c r="E27" s="3">
        <v>81</v>
      </c>
      <c r="F27" s="3">
        <v>90</v>
      </c>
      <c r="G27" s="3">
        <v>11</v>
      </c>
      <c r="H27" s="4">
        <f t="shared" si="0"/>
        <v>289</v>
      </c>
    </row>
    <row r="28" spans="1:8" x14ac:dyDescent="0.2">
      <c r="A28" s="2" t="s">
        <v>218</v>
      </c>
      <c r="B28" s="2" t="s">
        <v>219</v>
      </c>
      <c r="C28" s="3">
        <v>11</v>
      </c>
      <c r="D28" s="3">
        <v>18</v>
      </c>
      <c r="E28" s="3">
        <v>81</v>
      </c>
      <c r="F28" s="3">
        <v>34</v>
      </c>
      <c r="G28" s="3">
        <v>9</v>
      </c>
      <c r="H28" s="4">
        <f t="shared" si="0"/>
        <v>153</v>
      </c>
    </row>
    <row r="29" spans="1:8" x14ac:dyDescent="0.2">
      <c r="A29" s="2" t="s">
        <v>226</v>
      </c>
      <c r="B29" s="2" t="s">
        <v>227</v>
      </c>
      <c r="C29" s="3">
        <v>46</v>
      </c>
      <c r="D29" s="3">
        <v>26</v>
      </c>
      <c r="E29" s="3">
        <v>8</v>
      </c>
      <c r="F29" s="3">
        <v>38</v>
      </c>
      <c r="G29" s="3">
        <v>25</v>
      </c>
      <c r="H29" s="4">
        <f t="shared" si="0"/>
        <v>143</v>
      </c>
    </row>
    <row r="32" spans="1:8" x14ac:dyDescent="0.2">
      <c r="A32" s="30" t="s">
        <v>341</v>
      </c>
      <c r="B32" s="16"/>
      <c r="C32" s="16"/>
      <c r="D32" s="16"/>
      <c r="E32" s="16"/>
      <c r="F32" s="16"/>
      <c r="G32" s="16"/>
      <c r="H32" s="16"/>
    </row>
    <row r="33" spans="1:8" x14ac:dyDescent="0.2">
      <c r="A33" s="24" t="s">
        <v>329</v>
      </c>
      <c r="B33" s="25"/>
      <c r="C33" s="25"/>
      <c r="D33" s="26"/>
      <c r="E33" s="16"/>
      <c r="F33" s="16"/>
      <c r="G33" s="16"/>
      <c r="H33" s="16"/>
    </row>
    <row r="34" spans="1:8" x14ac:dyDescent="0.2">
      <c r="A34" s="24" t="s">
        <v>330</v>
      </c>
      <c r="B34" s="25"/>
      <c r="C34" s="25"/>
      <c r="D34" s="26"/>
      <c r="E34" s="16"/>
      <c r="F34" s="16"/>
      <c r="G34" s="16"/>
      <c r="H34" s="16"/>
    </row>
    <row r="35" spans="1:8" x14ac:dyDescent="0.2">
      <c r="A35" s="24" t="s">
        <v>331</v>
      </c>
      <c r="B35" s="25"/>
      <c r="C35" s="25"/>
      <c r="D35" s="26"/>
      <c r="E35" s="16"/>
      <c r="F35" s="16"/>
      <c r="G35" s="16"/>
      <c r="H35" s="16"/>
    </row>
    <row r="36" spans="1:8" x14ac:dyDescent="0.2">
      <c r="A36" s="24" t="s">
        <v>332</v>
      </c>
      <c r="B36" s="25"/>
      <c r="C36" s="25"/>
      <c r="D36" s="26"/>
      <c r="E36" s="16"/>
      <c r="F36" s="16"/>
      <c r="G36" s="16"/>
      <c r="H36" s="16"/>
    </row>
    <row r="37" spans="1:8" x14ac:dyDescent="0.2">
      <c r="A37" s="24" t="s">
        <v>333</v>
      </c>
      <c r="B37" s="25"/>
      <c r="C37" s="25"/>
      <c r="D37" s="26"/>
      <c r="E37" s="16"/>
      <c r="F37" s="16"/>
      <c r="G37" s="16"/>
      <c r="H37" s="16"/>
    </row>
    <row r="38" spans="1:8" x14ac:dyDescent="0.2">
      <c r="A38" s="24" t="s">
        <v>334</v>
      </c>
      <c r="B38" s="25"/>
      <c r="C38" s="25"/>
      <c r="D38" s="26"/>
      <c r="E38" s="16"/>
      <c r="F38" s="16"/>
      <c r="G38" s="16"/>
      <c r="H38" s="16"/>
    </row>
    <row r="39" spans="1:8" x14ac:dyDescent="0.2">
      <c r="A39" s="24" t="s">
        <v>335</v>
      </c>
      <c r="B39" s="25"/>
      <c r="C39" s="25"/>
      <c r="D39" s="26"/>
      <c r="E39" s="16"/>
      <c r="F39" s="16"/>
      <c r="G39" s="16"/>
      <c r="H39" s="16"/>
    </row>
    <row r="40" spans="1:8" x14ac:dyDescent="0.2">
      <c r="A40" s="24" t="s">
        <v>336</v>
      </c>
      <c r="B40" s="25"/>
      <c r="C40" s="25"/>
      <c r="D40" s="26"/>
      <c r="E40" s="16"/>
      <c r="F40" s="16"/>
      <c r="G40" s="16"/>
      <c r="H40" s="16"/>
    </row>
    <row r="41" spans="1:8" x14ac:dyDescent="0.2">
      <c r="A41" s="24" t="s">
        <v>337</v>
      </c>
      <c r="B41" s="25"/>
      <c r="C41" s="25"/>
      <c r="D41" s="26"/>
      <c r="E41" s="16"/>
      <c r="F41" s="16"/>
      <c r="G41" s="16"/>
      <c r="H41" s="16"/>
    </row>
    <row r="42" spans="1:8" x14ac:dyDescent="0.2">
      <c r="A42" s="24" t="s">
        <v>338</v>
      </c>
      <c r="B42" s="25"/>
      <c r="C42" s="25"/>
      <c r="D42" s="26"/>
      <c r="E42" s="16"/>
      <c r="F42" s="16"/>
      <c r="G42" s="16"/>
      <c r="H42" s="16"/>
    </row>
  </sheetData>
  <mergeCells count="22">
    <mergeCell ref="A1:H1"/>
    <mergeCell ref="E41:H41"/>
    <mergeCell ref="E37:H37"/>
    <mergeCell ref="A40:D40"/>
    <mergeCell ref="A34:D34"/>
    <mergeCell ref="A39:D39"/>
    <mergeCell ref="E33:H33"/>
    <mergeCell ref="A32:H32"/>
    <mergeCell ref="E34:H34"/>
    <mergeCell ref="A33:D33"/>
    <mergeCell ref="E42:H42"/>
    <mergeCell ref="A36:D36"/>
    <mergeCell ref="E39:H39"/>
    <mergeCell ref="E35:H35"/>
    <mergeCell ref="E38:H38"/>
    <mergeCell ref="A41:D41"/>
    <mergeCell ref="A37:D37"/>
    <mergeCell ref="E40:H40"/>
    <mergeCell ref="A42:D42"/>
    <mergeCell ref="E36:H36"/>
    <mergeCell ref="A35:D35"/>
    <mergeCell ref="A38:D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0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2" width="12" customWidth="1"/>
    <col min="3" max="3" width="3" customWidth="1"/>
    <col min="4" max="5" width="12" customWidth="1"/>
    <col min="6" max="6" width="3" customWidth="1"/>
  </cols>
  <sheetData>
    <row r="1" spans="1:6" ht="30" customHeight="1" x14ac:dyDescent="0.2">
      <c r="A1" s="19" t="s">
        <v>342</v>
      </c>
      <c r="B1" s="16"/>
      <c r="C1" s="16"/>
      <c r="D1" s="16"/>
      <c r="E1" s="16"/>
      <c r="F1" s="16"/>
    </row>
    <row r="3" spans="1:6" x14ac:dyDescent="0.2">
      <c r="A3" s="5" t="s">
        <v>343</v>
      </c>
      <c r="B3" s="5" t="s">
        <v>344</v>
      </c>
      <c r="C3" s="5" t="s">
        <v>345</v>
      </c>
      <c r="D3" s="5" t="s">
        <v>346</v>
      </c>
      <c r="E3" s="5" t="s">
        <v>347</v>
      </c>
      <c r="F3" s="5" t="s">
        <v>348</v>
      </c>
    </row>
    <row r="4" spans="1:6" x14ac:dyDescent="0.2">
      <c r="A4" s="6">
        <v>2026</v>
      </c>
      <c r="B4" s="2">
        <f>COUNTA('BINGO 2026'!A3:A29)</f>
        <v>27</v>
      </c>
      <c r="C4" s="2">
        <f>SUM('BINGO 2026'!H3:H29)</f>
        <v>5633</v>
      </c>
      <c r="D4" s="2">
        <f>AVERAGE('BINGO 2026'!H3:H29)</f>
        <v>208.62962962962962</v>
      </c>
      <c r="E4" s="2">
        <f>MAX('BINGO 2026'!H3:H29)</f>
        <v>276</v>
      </c>
      <c r="F4" s="2">
        <f>MIN('BINGO 2026'!H3:H29)</f>
        <v>76</v>
      </c>
    </row>
    <row r="5" spans="1:6" x14ac:dyDescent="0.2">
      <c r="A5" s="7">
        <v>2025</v>
      </c>
      <c r="B5" s="2">
        <f>COUNTA('BINGO 2025'!A3:A54)</f>
        <v>52</v>
      </c>
      <c r="C5" s="2">
        <f>SUM('BINGO 2025'!H3:H54)</f>
        <v>12296</v>
      </c>
      <c r="D5" s="2">
        <f>AVERAGE('BINGO 2025'!H3:H54)</f>
        <v>236.46153846153845</v>
      </c>
      <c r="E5" s="2">
        <f>MAX('BINGO 2025'!H3:H54)</f>
        <v>344</v>
      </c>
      <c r="F5" s="2">
        <f>MIN('BINGO 2025'!H3:H54)</f>
        <v>109</v>
      </c>
    </row>
    <row r="6" spans="1:6" x14ac:dyDescent="0.2">
      <c r="A6" s="8">
        <v>2024</v>
      </c>
      <c r="B6" s="2">
        <f>COUNTA('BINGO 2024'!A3:A54)</f>
        <v>52</v>
      </c>
      <c r="C6" s="2">
        <f>SUM('BINGO 2024'!H3:H54)</f>
        <v>11655</v>
      </c>
      <c r="D6" s="2">
        <f>AVERAGE('BINGO 2024'!H3:H54)</f>
        <v>224.13461538461539</v>
      </c>
      <c r="E6" s="2">
        <f>MAX('BINGO 2024'!H3:H54)</f>
        <v>349</v>
      </c>
      <c r="F6" s="2">
        <f>MIN('BINGO 2024'!H3:H54)</f>
        <v>131</v>
      </c>
    </row>
    <row r="7" spans="1:6" x14ac:dyDescent="0.2">
      <c r="A7" s="9">
        <v>2023</v>
      </c>
      <c r="B7" s="2">
        <f>COUNTA('BINGO 2023'!A3:A29)</f>
        <v>27</v>
      </c>
      <c r="C7" s="2">
        <f>SUM('BINGO 2023'!H3:H29)</f>
        <v>6103</v>
      </c>
      <c r="D7" s="2">
        <f>AVERAGE('BINGO 2023'!H3:H29)</f>
        <v>226.03703703703704</v>
      </c>
      <c r="E7" s="2">
        <f>MAX('BINGO 2023'!H3:H29)</f>
        <v>331</v>
      </c>
      <c r="F7" s="2">
        <f>MIN('BINGO 2023'!H3:H29)</f>
        <v>129</v>
      </c>
    </row>
    <row r="8" spans="1:6" x14ac:dyDescent="0.2">
      <c r="A8" s="10" t="s">
        <v>11</v>
      </c>
      <c r="B8" s="10">
        <f>SUM(B4:B7)</f>
        <v>158</v>
      </c>
      <c r="C8" s="10">
        <f>SUM(C4:C7)</f>
        <v>35687</v>
      </c>
      <c r="D8" s="11">
        <f>AVERAGE(D4:D7)</f>
        <v>223.81570512820514</v>
      </c>
      <c r="E8" s="11">
        <f>MAX(E4:E7)</f>
        <v>349</v>
      </c>
      <c r="F8" s="11">
        <f>MIN(F4:F7)</f>
        <v>76</v>
      </c>
    </row>
    <row r="11" spans="1:6" ht="16" x14ac:dyDescent="0.2">
      <c r="A11" s="17" t="s">
        <v>349</v>
      </c>
      <c r="B11" s="16"/>
      <c r="C11" s="16"/>
      <c r="D11" s="16"/>
      <c r="E11" s="16"/>
      <c r="F11" s="16"/>
    </row>
    <row r="12" spans="1:6" x14ac:dyDescent="0.2">
      <c r="A12" s="1" t="s">
        <v>350</v>
      </c>
      <c r="B12" s="1" t="s">
        <v>351</v>
      </c>
      <c r="D12" s="1" t="s">
        <v>350</v>
      </c>
      <c r="E12" s="1" t="s">
        <v>351</v>
      </c>
    </row>
    <row r="13" spans="1:6" x14ac:dyDescent="0.2">
      <c r="A13" s="3">
        <v>1</v>
      </c>
      <c r="B13" s="12">
        <v>11</v>
      </c>
      <c r="D13" s="3">
        <v>46</v>
      </c>
      <c r="E13" s="13">
        <v>15</v>
      </c>
    </row>
    <row r="14" spans="1:6" x14ac:dyDescent="0.2">
      <c r="A14" s="3">
        <v>2</v>
      </c>
      <c r="B14" s="11">
        <v>7</v>
      </c>
      <c r="D14" s="3">
        <v>47</v>
      </c>
      <c r="E14" s="12">
        <v>9</v>
      </c>
    </row>
    <row r="15" spans="1:6" x14ac:dyDescent="0.2">
      <c r="A15" s="3">
        <v>3</v>
      </c>
      <c r="B15" s="12">
        <v>8</v>
      </c>
      <c r="D15" s="3">
        <v>48</v>
      </c>
      <c r="E15" s="12">
        <v>8</v>
      </c>
    </row>
    <row r="16" spans="1:6" x14ac:dyDescent="0.2">
      <c r="A16" s="3">
        <v>4</v>
      </c>
      <c r="B16" s="12">
        <v>9</v>
      </c>
      <c r="D16" s="3">
        <v>49</v>
      </c>
      <c r="E16" s="12">
        <v>8</v>
      </c>
    </row>
    <row r="17" spans="1:5" x14ac:dyDescent="0.2">
      <c r="A17" s="3">
        <v>5</v>
      </c>
      <c r="B17" s="12">
        <v>8</v>
      </c>
      <c r="D17" s="3">
        <v>50</v>
      </c>
      <c r="E17" s="12">
        <v>8</v>
      </c>
    </row>
    <row r="18" spans="1:5" x14ac:dyDescent="0.2">
      <c r="A18" s="3">
        <v>6</v>
      </c>
      <c r="B18" s="12">
        <v>10</v>
      </c>
      <c r="D18" s="3">
        <v>51</v>
      </c>
      <c r="E18" s="12">
        <v>10</v>
      </c>
    </row>
    <row r="19" spans="1:5" x14ac:dyDescent="0.2">
      <c r="A19" s="3">
        <v>7</v>
      </c>
      <c r="B19" s="13">
        <v>12</v>
      </c>
      <c r="D19" s="3">
        <v>52</v>
      </c>
      <c r="E19" s="12">
        <v>11</v>
      </c>
    </row>
    <row r="20" spans="1:5" x14ac:dyDescent="0.2">
      <c r="A20" s="3">
        <v>8</v>
      </c>
      <c r="B20" s="11">
        <v>7</v>
      </c>
      <c r="D20" s="3">
        <v>53</v>
      </c>
      <c r="E20" s="11">
        <v>7</v>
      </c>
    </row>
    <row r="21" spans="1:5" x14ac:dyDescent="0.2">
      <c r="A21" s="3">
        <v>9</v>
      </c>
      <c r="B21" s="12">
        <v>11</v>
      </c>
      <c r="D21" s="3">
        <v>54</v>
      </c>
      <c r="E21" s="12">
        <v>11</v>
      </c>
    </row>
    <row r="22" spans="1:5" x14ac:dyDescent="0.2">
      <c r="A22" s="3">
        <v>10</v>
      </c>
      <c r="B22" s="11">
        <v>6</v>
      </c>
      <c r="D22" s="3">
        <v>55</v>
      </c>
      <c r="E22" s="12">
        <v>11</v>
      </c>
    </row>
    <row r="23" spans="1:5" x14ac:dyDescent="0.2">
      <c r="A23" s="3">
        <v>11</v>
      </c>
      <c r="B23" s="12">
        <v>9</v>
      </c>
      <c r="D23" s="3">
        <v>56</v>
      </c>
      <c r="E23" s="11">
        <v>7</v>
      </c>
    </row>
    <row r="24" spans="1:5" x14ac:dyDescent="0.2">
      <c r="A24" s="3">
        <v>12</v>
      </c>
      <c r="B24" s="12">
        <v>8</v>
      </c>
      <c r="D24" s="3">
        <v>57</v>
      </c>
      <c r="E24" s="11">
        <v>5</v>
      </c>
    </row>
    <row r="25" spans="1:5" x14ac:dyDescent="0.2">
      <c r="A25" s="3">
        <v>13</v>
      </c>
      <c r="B25" s="13">
        <v>13</v>
      </c>
      <c r="D25" s="3">
        <v>58</v>
      </c>
      <c r="E25" s="12">
        <v>9</v>
      </c>
    </row>
    <row r="26" spans="1:5" x14ac:dyDescent="0.2">
      <c r="A26" s="3">
        <v>14</v>
      </c>
      <c r="B26" s="12">
        <v>9</v>
      </c>
      <c r="D26" s="3">
        <v>59</v>
      </c>
      <c r="E26" s="11">
        <v>6</v>
      </c>
    </row>
    <row r="27" spans="1:5" x14ac:dyDescent="0.2">
      <c r="A27" s="3">
        <v>15</v>
      </c>
      <c r="B27" s="11">
        <v>5</v>
      </c>
      <c r="D27" s="3">
        <v>60</v>
      </c>
      <c r="E27" s="12">
        <v>11</v>
      </c>
    </row>
    <row r="28" spans="1:5" x14ac:dyDescent="0.2">
      <c r="A28" s="3">
        <v>16</v>
      </c>
      <c r="B28" s="11">
        <v>5</v>
      </c>
      <c r="D28" s="3">
        <v>61</v>
      </c>
      <c r="E28" s="12">
        <v>10</v>
      </c>
    </row>
    <row r="29" spans="1:5" x14ac:dyDescent="0.2">
      <c r="A29" s="3">
        <v>17</v>
      </c>
      <c r="B29" s="11">
        <v>7</v>
      </c>
      <c r="D29" s="3">
        <v>62</v>
      </c>
      <c r="E29" s="11">
        <v>7</v>
      </c>
    </row>
    <row r="30" spans="1:5" x14ac:dyDescent="0.2">
      <c r="A30" s="3">
        <v>18</v>
      </c>
      <c r="B30" s="12">
        <v>9</v>
      </c>
      <c r="D30" s="3">
        <v>63</v>
      </c>
      <c r="E30" s="12">
        <v>10</v>
      </c>
    </row>
    <row r="31" spans="1:5" x14ac:dyDescent="0.2">
      <c r="A31" s="3">
        <v>19</v>
      </c>
      <c r="B31" s="11">
        <v>5</v>
      </c>
      <c r="D31" s="3">
        <v>64</v>
      </c>
      <c r="E31" s="12">
        <v>10</v>
      </c>
    </row>
    <row r="32" spans="1:5" x14ac:dyDescent="0.2">
      <c r="A32" s="3">
        <v>20</v>
      </c>
      <c r="B32" s="12">
        <v>9</v>
      </c>
      <c r="D32" s="3">
        <v>65</v>
      </c>
      <c r="E32" s="11">
        <v>7</v>
      </c>
    </row>
    <row r="33" spans="1:5" x14ac:dyDescent="0.2">
      <c r="A33" s="3">
        <v>21</v>
      </c>
      <c r="B33" s="11">
        <v>6</v>
      </c>
      <c r="D33" s="3">
        <v>66</v>
      </c>
      <c r="E33" s="11">
        <v>6</v>
      </c>
    </row>
    <row r="34" spans="1:5" x14ac:dyDescent="0.2">
      <c r="A34" s="3">
        <v>22</v>
      </c>
      <c r="B34" s="12">
        <v>9</v>
      </c>
      <c r="D34" s="3">
        <v>67</v>
      </c>
      <c r="E34" s="12">
        <v>10</v>
      </c>
    </row>
    <row r="35" spans="1:5" x14ac:dyDescent="0.2">
      <c r="A35" s="3">
        <v>23</v>
      </c>
      <c r="B35" s="12">
        <v>11</v>
      </c>
      <c r="D35" s="3">
        <v>68</v>
      </c>
      <c r="E35" s="12">
        <v>10</v>
      </c>
    </row>
    <row r="36" spans="1:5" x14ac:dyDescent="0.2">
      <c r="A36" s="3">
        <v>24</v>
      </c>
      <c r="B36" s="13">
        <v>14</v>
      </c>
      <c r="D36" s="3">
        <v>69</v>
      </c>
      <c r="E36" s="12">
        <v>11</v>
      </c>
    </row>
    <row r="37" spans="1:5" x14ac:dyDescent="0.2">
      <c r="A37" s="3">
        <v>25</v>
      </c>
      <c r="B37" s="11">
        <v>6</v>
      </c>
      <c r="D37" s="3">
        <v>70</v>
      </c>
      <c r="E37" s="13">
        <v>12</v>
      </c>
    </row>
    <row r="38" spans="1:5" x14ac:dyDescent="0.2">
      <c r="A38" s="3">
        <v>26</v>
      </c>
      <c r="B38" s="12">
        <v>11</v>
      </c>
      <c r="D38" s="3">
        <v>71</v>
      </c>
      <c r="E38" s="12">
        <v>11</v>
      </c>
    </row>
    <row r="39" spans="1:5" x14ac:dyDescent="0.2">
      <c r="A39" s="3">
        <v>27</v>
      </c>
      <c r="B39" s="11">
        <v>7</v>
      </c>
      <c r="D39" s="3">
        <v>72</v>
      </c>
      <c r="E39" s="12">
        <v>11</v>
      </c>
    </row>
    <row r="40" spans="1:5" x14ac:dyDescent="0.2">
      <c r="A40" s="3">
        <v>28</v>
      </c>
      <c r="B40" s="11">
        <v>7</v>
      </c>
      <c r="D40" s="3">
        <v>73</v>
      </c>
      <c r="E40" s="12">
        <v>10</v>
      </c>
    </row>
    <row r="41" spans="1:5" x14ac:dyDescent="0.2">
      <c r="A41" s="3">
        <v>29</v>
      </c>
      <c r="B41" s="12">
        <v>10</v>
      </c>
      <c r="D41" s="3">
        <v>74</v>
      </c>
      <c r="E41" s="11">
        <v>5</v>
      </c>
    </row>
    <row r="42" spans="1:5" x14ac:dyDescent="0.2">
      <c r="A42" s="3">
        <v>30</v>
      </c>
      <c r="B42" s="11">
        <v>5</v>
      </c>
      <c r="D42" s="3">
        <v>75</v>
      </c>
      <c r="E42" s="11">
        <v>4</v>
      </c>
    </row>
    <row r="43" spans="1:5" x14ac:dyDescent="0.2">
      <c r="A43" s="3">
        <v>31</v>
      </c>
      <c r="B43" s="13">
        <v>13</v>
      </c>
      <c r="D43" s="3">
        <v>76</v>
      </c>
      <c r="E43" s="12">
        <v>10</v>
      </c>
    </row>
    <row r="44" spans="1:5" x14ac:dyDescent="0.2">
      <c r="A44" s="3">
        <v>32</v>
      </c>
      <c r="B44" s="12">
        <v>9</v>
      </c>
      <c r="D44" s="3">
        <v>77</v>
      </c>
      <c r="E44" s="12">
        <v>8</v>
      </c>
    </row>
    <row r="45" spans="1:5" x14ac:dyDescent="0.2">
      <c r="A45" s="3">
        <v>33</v>
      </c>
      <c r="B45" s="12">
        <v>8</v>
      </c>
      <c r="D45" s="3">
        <v>78</v>
      </c>
      <c r="E45" s="11">
        <v>4</v>
      </c>
    </row>
    <row r="46" spans="1:5" x14ac:dyDescent="0.2">
      <c r="A46" s="3">
        <v>34</v>
      </c>
      <c r="B46" s="13">
        <v>13</v>
      </c>
      <c r="D46" s="3">
        <v>79</v>
      </c>
      <c r="E46" s="12">
        <v>9</v>
      </c>
    </row>
    <row r="47" spans="1:5" x14ac:dyDescent="0.2">
      <c r="A47" s="3">
        <v>35</v>
      </c>
      <c r="B47" s="13">
        <v>14</v>
      </c>
      <c r="D47" s="3">
        <v>80</v>
      </c>
      <c r="E47" s="12">
        <v>9</v>
      </c>
    </row>
    <row r="48" spans="1:5" x14ac:dyDescent="0.2">
      <c r="A48" s="3">
        <v>36</v>
      </c>
      <c r="B48" s="12">
        <v>8</v>
      </c>
      <c r="D48" s="3">
        <v>81</v>
      </c>
      <c r="E48" s="13">
        <v>13</v>
      </c>
    </row>
    <row r="49" spans="1:5" x14ac:dyDescent="0.2">
      <c r="A49" s="3">
        <v>37</v>
      </c>
      <c r="B49" s="11">
        <v>7</v>
      </c>
      <c r="D49" s="3">
        <v>82</v>
      </c>
      <c r="E49" s="12">
        <v>11</v>
      </c>
    </row>
    <row r="50" spans="1:5" x14ac:dyDescent="0.2">
      <c r="A50" s="3">
        <v>38</v>
      </c>
      <c r="B50" s="12">
        <v>11</v>
      </c>
      <c r="D50" s="3">
        <v>83</v>
      </c>
      <c r="E50" s="12">
        <v>9</v>
      </c>
    </row>
    <row r="51" spans="1:5" x14ac:dyDescent="0.2">
      <c r="A51" s="3">
        <v>39</v>
      </c>
      <c r="B51" s="11">
        <v>5</v>
      </c>
      <c r="D51" s="3">
        <v>84</v>
      </c>
      <c r="E51" s="11">
        <v>5</v>
      </c>
    </row>
    <row r="52" spans="1:5" x14ac:dyDescent="0.2">
      <c r="A52" s="3">
        <v>40</v>
      </c>
      <c r="B52" s="11">
        <v>6</v>
      </c>
      <c r="D52" s="3">
        <v>85</v>
      </c>
      <c r="E52" s="14">
        <v>3</v>
      </c>
    </row>
    <row r="53" spans="1:5" x14ac:dyDescent="0.2">
      <c r="A53" s="3">
        <v>41</v>
      </c>
      <c r="B53" s="12">
        <v>8</v>
      </c>
      <c r="D53" s="3">
        <v>86</v>
      </c>
      <c r="E53" s="13">
        <v>13</v>
      </c>
    </row>
    <row r="54" spans="1:5" x14ac:dyDescent="0.2">
      <c r="A54" s="3">
        <v>42</v>
      </c>
      <c r="B54" s="12">
        <v>10</v>
      </c>
      <c r="D54" s="3">
        <v>87</v>
      </c>
      <c r="E54" s="11">
        <v>6</v>
      </c>
    </row>
    <row r="55" spans="1:5" x14ac:dyDescent="0.2">
      <c r="A55" s="3">
        <v>43</v>
      </c>
      <c r="B55" s="12">
        <v>10</v>
      </c>
      <c r="D55" s="3">
        <v>88</v>
      </c>
      <c r="E55" s="11">
        <v>6</v>
      </c>
    </row>
    <row r="56" spans="1:5" x14ac:dyDescent="0.2">
      <c r="A56" s="3">
        <v>44</v>
      </c>
      <c r="B56" s="11">
        <v>7</v>
      </c>
      <c r="D56" s="3">
        <v>89</v>
      </c>
      <c r="E56" s="12">
        <v>10</v>
      </c>
    </row>
    <row r="57" spans="1:5" x14ac:dyDescent="0.2">
      <c r="A57" s="3">
        <v>45</v>
      </c>
      <c r="B57" s="13">
        <v>14</v>
      </c>
      <c r="D57" s="3">
        <v>90</v>
      </c>
      <c r="E57" s="11">
        <v>7</v>
      </c>
    </row>
    <row r="60" spans="1:5" x14ac:dyDescent="0.2">
      <c r="A60" s="15" t="s">
        <v>352</v>
      </c>
      <c r="B60" s="16"/>
      <c r="D60" s="18" t="s">
        <v>353</v>
      </c>
      <c r="E60" s="16"/>
    </row>
    <row r="61" spans="1:5" x14ac:dyDescent="0.2">
      <c r="A61" s="3">
        <v>46</v>
      </c>
      <c r="B61" s="2">
        <v>15</v>
      </c>
      <c r="D61" s="3">
        <v>85</v>
      </c>
      <c r="E61" s="2">
        <v>3</v>
      </c>
    </row>
    <row r="62" spans="1:5" x14ac:dyDescent="0.2">
      <c r="A62" s="3">
        <v>24</v>
      </c>
      <c r="B62" s="2">
        <v>14</v>
      </c>
      <c r="D62" s="3">
        <v>75</v>
      </c>
      <c r="E62" s="2">
        <v>4</v>
      </c>
    </row>
    <row r="63" spans="1:5" x14ac:dyDescent="0.2">
      <c r="A63" s="3">
        <v>45</v>
      </c>
      <c r="B63" s="2">
        <v>14</v>
      </c>
      <c r="D63" s="3">
        <v>78</v>
      </c>
      <c r="E63" s="2">
        <v>4</v>
      </c>
    </row>
    <row r="64" spans="1:5" x14ac:dyDescent="0.2">
      <c r="A64" s="3">
        <v>35</v>
      </c>
      <c r="B64" s="2">
        <v>14</v>
      </c>
      <c r="D64" s="3">
        <v>15</v>
      </c>
      <c r="E64" s="2">
        <v>5</v>
      </c>
    </row>
    <row r="65" spans="1:5" x14ac:dyDescent="0.2">
      <c r="A65" s="3">
        <v>13</v>
      </c>
      <c r="B65" s="2">
        <v>13</v>
      </c>
      <c r="D65" s="3">
        <v>16</v>
      </c>
      <c r="E65" s="2">
        <v>5</v>
      </c>
    </row>
    <row r="66" spans="1:5" x14ac:dyDescent="0.2">
      <c r="A66" s="3">
        <v>86</v>
      </c>
      <c r="B66" s="2">
        <v>13</v>
      </c>
      <c r="D66" s="3">
        <v>19</v>
      </c>
      <c r="E66" s="2">
        <v>5</v>
      </c>
    </row>
    <row r="67" spans="1:5" x14ac:dyDescent="0.2">
      <c r="A67" s="3">
        <v>31</v>
      </c>
      <c r="B67" s="2">
        <v>13</v>
      </c>
      <c r="D67" s="3">
        <v>30</v>
      </c>
      <c r="E67" s="2">
        <v>5</v>
      </c>
    </row>
    <row r="68" spans="1:5" x14ac:dyDescent="0.2">
      <c r="A68" s="3">
        <v>81</v>
      </c>
      <c r="B68" s="2">
        <v>13</v>
      </c>
      <c r="D68" s="3">
        <v>39</v>
      </c>
      <c r="E68" s="2">
        <v>5</v>
      </c>
    </row>
    <row r="69" spans="1:5" x14ac:dyDescent="0.2">
      <c r="A69" s="3">
        <v>34</v>
      </c>
      <c r="B69" s="2">
        <v>13</v>
      </c>
      <c r="D69" s="3">
        <v>57</v>
      </c>
      <c r="E69" s="2">
        <v>5</v>
      </c>
    </row>
    <row r="70" spans="1:5" x14ac:dyDescent="0.2">
      <c r="A70" s="3">
        <v>7</v>
      </c>
      <c r="B70" s="2">
        <v>12</v>
      </c>
      <c r="D70" s="3">
        <v>74</v>
      </c>
      <c r="E70" s="2">
        <v>5</v>
      </c>
    </row>
  </sheetData>
  <mergeCells count="4">
    <mergeCell ref="A60:B60"/>
    <mergeCell ref="A11:F11"/>
    <mergeCell ref="D60:E60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3728-CAEF-BC43-A526-F63D2B0B7D8B}">
  <dimension ref="A1:DL5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9" customWidth="1"/>
    <col min="2" max="2" width="8" customWidth="1"/>
    <col min="3" max="7" width="6" customWidth="1"/>
    <col min="8" max="8" width="8" customWidth="1"/>
    <col min="9" max="9" width="3" customWidth="1"/>
    <col min="10" max="10" width="9" customWidth="1"/>
    <col min="11" max="11" width="8" customWidth="1"/>
    <col min="12" max="16" width="6" customWidth="1"/>
    <col min="17" max="17" width="8" customWidth="1"/>
    <col min="18" max="18" width="3" customWidth="1"/>
    <col min="19" max="19" width="9" customWidth="1"/>
    <col min="20" max="20" width="8" customWidth="1"/>
    <col min="21" max="25" width="6" customWidth="1"/>
    <col min="26" max="26" width="8" customWidth="1"/>
    <col min="27" max="27" width="3" customWidth="1"/>
    <col min="28" max="28" width="9" customWidth="1"/>
    <col min="29" max="29" width="8" customWidth="1"/>
    <col min="30" max="34" width="6" customWidth="1"/>
    <col min="35" max="35" width="8" customWidth="1"/>
    <col min="36" max="36" width="3" customWidth="1"/>
    <col min="37" max="37" width="9" customWidth="1"/>
    <col min="38" max="38" width="8" customWidth="1"/>
    <col min="39" max="43" width="6" customWidth="1"/>
    <col min="44" max="44" width="8" customWidth="1"/>
    <col min="45" max="45" width="3" customWidth="1"/>
    <col min="46" max="46" width="9" customWidth="1"/>
    <col min="47" max="47" width="8" customWidth="1"/>
    <col min="48" max="52" width="6" customWidth="1"/>
    <col min="53" max="53" width="8" customWidth="1"/>
    <col min="54" max="54" width="3" customWidth="1"/>
    <col min="55" max="55" width="9" customWidth="1"/>
    <col min="56" max="56" width="8" customWidth="1"/>
    <col min="57" max="61" width="6" customWidth="1"/>
    <col min="62" max="62" width="8" customWidth="1"/>
    <col min="63" max="63" width="3" customWidth="1"/>
    <col min="64" max="64" width="9" customWidth="1"/>
    <col min="65" max="65" width="8" customWidth="1"/>
    <col min="66" max="70" width="6" customWidth="1"/>
    <col min="71" max="71" width="8" customWidth="1"/>
    <col min="72" max="72" width="3" customWidth="1"/>
    <col min="73" max="73" width="9" customWidth="1"/>
    <col min="74" max="74" width="8" customWidth="1"/>
    <col min="75" max="79" width="6" customWidth="1"/>
    <col min="80" max="80" width="8" customWidth="1"/>
    <col min="81" max="81" width="3" customWidth="1"/>
    <col min="82" max="82" width="9" customWidth="1"/>
    <col min="83" max="83" width="8" customWidth="1"/>
    <col min="84" max="88" width="6" customWidth="1"/>
    <col min="89" max="89" width="8" customWidth="1"/>
    <col min="90" max="90" width="3" customWidth="1"/>
    <col min="91" max="91" width="9" customWidth="1"/>
    <col min="92" max="92" width="8" customWidth="1"/>
    <col min="93" max="97" width="6" customWidth="1"/>
    <col min="98" max="98" width="8" customWidth="1"/>
    <col min="99" max="99" width="3" customWidth="1"/>
    <col min="100" max="100" width="9" customWidth="1"/>
    <col min="101" max="101" width="8" customWidth="1"/>
    <col min="102" max="106" width="6" customWidth="1"/>
    <col min="107" max="107" width="8" customWidth="1"/>
    <col min="108" max="108" width="3" customWidth="1"/>
    <col min="109" max="109" width="9" customWidth="1"/>
    <col min="110" max="110" width="8" customWidth="1"/>
    <col min="111" max="115" width="6" customWidth="1"/>
    <col min="116" max="116" width="8" customWidth="1"/>
    <col min="117" max="117" width="3" customWidth="1"/>
  </cols>
  <sheetData>
    <row r="1" spans="1:116" ht="18" x14ac:dyDescent="0.2">
      <c r="A1" s="31" t="s">
        <v>354</v>
      </c>
      <c r="B1" s="32"/>
      <c r="C1" s="32"/>
      <c r="D1" s="32"/>
      <c r="E1" s="32"/>
      <c r="F1" s="32"/>
      <c r="G1" s="32"/>
      <c r="H1" s="32"/>
      <c r="J1" s="31" t="s">
        <v>355</v>
      </c>
      <c r="K1" s="32"/>
      <c r="L1" s="32"/>
      <c r="M1" s="32"/>
      <c r="N1" s="32"/>
      <c r="O1" s="32"/>
      <c r="P1" s="32"/>
      <c r="Q1" s="32"/>
      <c r="S1" s="31" t="s">
        <v>356</v>
      </c>
      <c r="T1" s="32"/>
      <c r="U1" s="32"/>
      <c r="V1" s="32"/>
      <c r="W1" s="32"/>
      <c r="X1" s="32"/>
      <c r="Y1" s="32"/>
      <c r="Z1" s="32"/>
      <c r="AB1" s="31" t="s">
        <v>357</v>
      </c>
      <c r="AC1" s="32"/>
      <c r="AD1" s="32"/>
      <c r="AE1" s="32"/>
      <c r="AF1" s="32"/>
      <c r="AG1" s="32"/>
      <c r="AH1" s="32"/>
      <c r="AI1" s="32"/>
      <c r="AK1" s="31" t="s">
        <v>358</v>
      </c>
      <c r="AL1" s="32"/>
      <c r="AM1" s="32"/>
      <c r="AN1" s="32"/>
      <c r="AO1" s="32"/>
      <c r="AP1" s="32"/>
      <c r="AQ1" s="32"/>
      <c r="AR1" s="32"/>
      <c r="AT1" s="31" t="s">
        <v>359</v>
      </c>
      <c r="AU1" s="32"/>
      <c r="AV1" s="32"/>
      <c r="AW1" s="32"/>
      <c r="AX1" s="32"/>
      <c r="AY1" s="32"/>
      <c r="AZ1" s="32"/>
      <c r="BA1" s="32"/>
      <c r="BC1" s="31" t="s">
        <v>360</v>
      </c>
      <c r="BD1" s="32"/>
      <c r="BE1" s="32"/>
      <c r="BF1" s="32"/>
      <c r="BG1" s="32"/>
      <c r="BH1" s="32"/>
      <c r="BI1" s="32"/>
      <c r="BJ1" s="32"/>
      <c r="BL1" s="31" t="s">
        <v>361</v>
      </c>
      <c r="BM1" s="32"/>
      <c r="BN1" s="32"/>
      <c r="BO1" s="32"/>
      <c r="BP1" s="32"/>
      <c r="BQ1" s="32"/>
      <c r="BR1" s="32"/>
      <c r="BS1" s="32"/>
      <c r="BU1" s="31" t="s">
        <v>362</v>
      </c>
      <c r="BV1" s="32"/>
      <c r="BW1" s="32"/>
      <c r="BX1" s="32"/>
      <c r="BY1" s="32"/>
      <c r="BZ1" s="32"/>
      <c r="CA1" s="32"/>
      <c r="CB1" s="32"/>
      <c r="CD1" s="31" t="s">
        <v>363</v>
      </c>
      <c r="CE1" s="32"/>
      <c r="CF1" s="32"/>
      <c r="CG1" s="32"/>
      <c r="CH1" s="32"/>
      <c r="CI1" s="32"/>
      <c r="CJ1" s="32"/>
      <c r="CK1" s="32"/>
      <c r="CM1" s="31" t="s">
        <v>364</v>
      </c>
      <c r="CN1" s="32"/>
      <c r="CO1" s="32"/>
      <c r="CP1" s="32"/>
      <c r="CQ1" s="32"/>
      <c r="CR1" s="32"/>
      <c r="CS1" s="32"/>
      <c r="CT1" s="32"/>
      <c r="CV1" s="31" t="s">
        <v>365</v>
      </c>
      <c r="CW1" s="32"/>
      <c r="CX1" s="32"/>
      <c r="CY1" s="32"/>
      <c r="CZ1" s="32"/>
      <c r="DA1" s="32"/>
      <c r="DB1" s="32"/>
      <c r="DC1" s="32"/>
      <c r="DE1" s="31" t="s">
        <v>366</v>
      </c>
      <c r="DF1" s="32"/>
      <c r="DG1" s="32"/>
      <c r="DH1" s="32"/>
      <c r="DI1" s="32"/>
      <c r="DJ1" s="32"/>
      <c r="DK1" s="32"/>
      <c r="DL1" s="32"/>
    </row>
    <row r="2" spans="1:116" ht="18" x14ac:dyDescent="0.2">
      <c r="A2" s="33" t="s">
        <v>367</v>
      </c>
      <c r="B2" s="33" t="s">
        <v>368</v>
      </c>
      <c r="C2" s="33" t="s">
        <v>369</v>
      </c>
      <c r="D2" s="33" t="s">
        <v>370</v>
      </c>
      <c r="E2" s="33" t="s">
        <v>371</v>
      </c>
      <c r="F2" s="33" t="s">
        <v>372</v>
      </c>
      <c r="G2" s="33" t="s">
        <v>373</v>
      </c>
      <c r="H2" s="33" t="s">
        <v>11</v>
      </c>
      <c r="J2" s="33" t="s">
        <v>367</v>
      </c>
      <c r="K2" s="33" t="s">
        <v>368</v>
      </c>
      <c r="L2" s="33" t="s">
        <v>369</v>
      </c>
      <c r="M2" s="33" t="s">
        <v>370</v>
      </c>
      <c r="N2" s="33" t="s">
        <v>371</v>
      </c>
      <c r="O2" s="33" t="s">
        <v>372</v>
      </c>
      <c r="P2" s="33" t="s">
        <v>373</v>
      </c>
      <c r="Q2" s="33" t="s">
        <v>11</v>
      </c>
      <c r="S2" s="33" t="s">
        <v>367</v>
      </c>
      <c r="T2" s="33" t="s">
        <v>368</v>
      </c>
      <c r="U2" s="33" t="s">
        <v>369</v>
      </c>
      <c r="V2" s="33" t="s">
        <v>370</v>
      </c>
      <c r="W2" s="33" t="s">
        <v>371</v>
      </c>
      <c r="X2" s="33" t="s">
        <v>372</v>
      </c>
      <c r="Y2" s="33" t="s">
        <v>373</v>
      </c>
      <c r="Z2" s="33" t="s">
        <v>11</v>
      </c>
      <c r="AB2" s="33" t="s">
        <v>367</v>
      </c>
      <c r="AC2" s="33" t="s">
        <v>368</v>
      </c>
      <c r="AD2" s="33" t="s">
        <v>369</v>
      </c>
      <c r="AE2" s="33" t="s">
        <v>370</v>
      </c>
      <c r="AF2" s="33" t="s">
        <v>371</v>
      </c>
      <c r="AG2" s="33" t="s">
        <v>372</v>
      </c>
      <c r="AH2" s="33" t="s">
        <v>373</v>
      </c>
      <c r="AI2" s="33" t="s">
        <v>11</v>
      </c>
      <c r="AK2" s="33" t="s">
        <v>367</v>
      </c>
      <c r="AL2" s="33" t="s">
        <v>368</v>
      </c>
      <c r="AM2" s="33" t="s">
        <v>369</v>
      </c>
      <c r="AN2" s="33" t="s">
        <v>370</v>
      </c>
      <c r="AO2" s="33" t="s">
        <v>371</v>
      </c>
      <c r="AP2" s="33" t="s">
        <v>372</v>
      </c>
      <c r="AQ2" s="33" t="s">
        <v>373</v>
      </c>
      <c r="AR2" s="33" t="s">
        <v>11</v>
      </c>
      <c r="AT2" s="33" t="s">
        <v>367</v>
      </c>
      <c r="AU2" s="33" t="s">
        <v>368</v>
      </c>
      <c r="AV2" s="33" t="s">
        <v>369</v>
      </c>
      <c r="AW2" s="33" t="s">
        <v>370</v>
      </c>
      <c r="AX2" s="33" t="s">
        <v>371</v>
      </c>
      <c r="AY2" s="33" t="s">
        <v>372</v>
      </c>
      <c r="AZ2" s="33" t="s">
        <v>373</v>
      </c>
      <c r="BA2" s="33" t="s">
        <v>11</v>
      </c>
      <c r="BC2" s="33" t="s">
        <v>367</v>
      </c>
      <c r="BD2" s="33" t="s">
        <v>368</v>
      </c>
      <c r="BE2" s="33" t="s">
        <v>369</v>
      </c>
      <c r="BF2" s="33" t="s">
        <v>370</v>
      </c>
      <c r="BG2" s="33" t="s">
        <v>371</v>
      </c>
      <c r="BH2" s="33" t="s">
        <v>372</v>
      </c>
      <c r="BI2" s="33" t="s">
        <v>373</v>
      </c>
      <c r="BJ2" s="33" t="s">
        <v>11</v>
      </c>
      <c r="BL2" s="33" t="s">
        <v>367</v>
      </c>
      <c r="BM2" s="33" t="s">
        <v>368</v>
      </c>
      <c r="BN2" s="33" t="s">
        <v>369</v>
      </c>
      <c r="BO2" s="33" t="s">
        <v>370</v>
      </c>
      <c r="BP2" s="33" t="s">
        <v>371</v>
      </c>
      <c r="BQ2" s="33" t="s">
        <v>372</v>
      </c>
      <c r="BR2" s="33" t="s">
        <v>373</v>
      </c>
      <c r="BS2" s="33" t="s">
        <v>11</v>
      </c>
      <c r="BU2" s="33" t="s">
        <v>367</v>
      </c>
      <c r="BV2" s="33" t="s">
        <v>368</v>
      </c>
      <c r="BW2" s="33" t="s">
        <v>369</v>
      </c>
      <c r="BX2" s="33" t="s">
        <v>370</v>
      </c>
      <c r="BY2" s="33" t="s">
        <v>371</v>
      </c>
      <c r="BZ2" s="33" t="s">
        <v>372</v>
      </c>
      <c r="CA2" s="33" t="s">
        <v>373</v>
      </c>
      <c r="CB2" s="33" t="s">
        <v>11</v>
      </c>
      <c r="CD2" s="33" t="s">
        <v>367</v>
      </c>
      <c r="CE2" s="33" t="s">
        <v>368</v>
      </c>
      <c r="CF2" s="33" t="s">
        <v>369</v>
      </c>
      <c r="CG2" s="33" t="s">
        <v>370</v>
      </c>
      <c r="CH2" s="33" t="s">
        <v>371</v>
      </c>
      <c r="CI2" s="33" t="s">
        <v>372</v>
      </c>
      <c r="CJ2" s="33" t="s">
        <v>373</v>
      </c>
      <c r="CK2" s="33" t="s">
        <v>11</v>
      </c>
      <c r="CM2" s="33" t="s">
        <v>367</v>
      </c>
      <c r="CN2" s="33" t="s">
        <v>368</v>
      </c>
      <c r="CO2" s="33" t="s">
        <v>369</v>
      </c>
      <c r="CP2" s="33" t="s">
        <v>370</v>
      </c>
      <c r="CQ2" s="33" t="s">
        <v>371</v>
      </c>
      <c r="CR2" s="33" t="s">
        <v>372</v>
      </c>
      <c r="CS2" s="33" t="s">
        <v>373</v>
      </c>
      <c r="CT2" s="33" t="s">
        <v>11</v>
      </c>
      <c r="CV2" s="33" t="s">
        <v>367</v>
      </c>
      <c r="CW2" s="33" t="s">
        <v>368</v>
      </c>
      <c r="CX2" s="33" t="s">
        <v>369</v>
      </c>
      <c r="CY2" s="33" t="s">
        <v>370</v>
      </c>
      <c r="CZ2" s="33" t="s">
        <v>371</v>
      </c>
      <c r="DA2" s="33" t="s">
        <v>372</v>
      </c>
      <c r="DB2" s="33" t="s">
        <v>373</v>
      </c>
      <c r="DC2" s="33" t="s">
        <v>11</v>
      </c>
      <c r="DE2" s="33" t="s">
        <v>367</v>
      </c>
      <c r="DF2" s="33" t="s">
        <v>368</v>
      </c>
      <c r="DG2" s="33" t="s">
        <v>369</v>
      </c>
      <c r="DH2" s="33" t="s">
        <v>370</v>
      </c>
      <c r="DI2" s="33" t="s">
        <v>371</v>
      </c>
      <c r="DJ2" s="33" t="s">
        <v>372</v>
      </c>
      <c r="DK2" s="33" t="s">
        <v>373</v>
      </c>
      <c r="DL2" s="33" t="s">
        <v>11</v>
      </c>
    </row>
    <row r="3" spans="1:116" ht="18" x14ac:dyDescent="0.2">
      <c r="A3" s="34">
        <v>1</v>
      </c>
      <c r="B3" s="34" t="s">
        <v>374</v>
      </c>
      <c r="C3" s="34">
        <v>41</v>
      </c>
      <c r="D3" s="34">
        <v>89</v>
      </c>
      <c r="E3" s="34">
        <v>80</v>
      </c>
      <c r="F3" s="34">
        <v>62</v>
      </c>
      <c r="G3" s="34">
        <v>45</v>
      </c>
      <c r="H3" s="35">
        <f t="shared" ref="H3:H16" si="0">C3+D3+E3+F3+G3</f>
        <v>317</v>
      </c>
      <c r="J3" s="34">
        <v>15</v>
      </c>
      <c r="K3" s="34" t="s">
        <v>375</v>
      </c>
      <c r="L3" s="34">
        <v>41</v>
      </c>
      <c r="M3" s="34">
        <v>48</v>
      </c>
      <c r="N3" s="34">
        <v>45</v>
      </c>
      <c r="O3" s="34">
        <v>70</v>
      </c>
      <c r="P3" s="34">
        <v>31</v>
      </c>
      <c r="Q3" s="35">
        <f t="shared" ref="Q3:Q54" si="1">L3+M3+N3+O3+P3</f>
        <v>235</v>
      </c>
      <c r="S3" s="34">
        <v>67</v>
      </c>
      <c r="T3" s="34" t="s">
        <v>376</v>
      </c>
      <c r="U3" s="34">
        <v>65</v>
      </c>
      <c r="V3" s="34">
        <v>8</v>
      </c>
      <c r="W3" s="34">
        <v>56</v>
      </c>
      <c r="X3" s="34">
        <v>39</v>
      </c>
      <c r="Y3" s="34">
        <v>90</v>
      </c>
      <c r="Z3" s="35">
        <f t="shared" ref="Z3:Z54" si="2">U3+V3+W3+X3+Y3</f>
        <v>258</v>
      </c>
      <c r="AB3" s="34">
        <v>119</v>
      </c>
      <c r="AC3" s="34" t="s">
        <v>377</v>
      </c>
      <c r="AD3" s="34">
        <v>80</v>
      </c>
      <c r="AE3" s="34">
        <v>47</v>
      </c>
      <c r="AF3" s="34">
        <v>22</v>
      </c>
      <c r="AG3" s="34">
        <v>69</v>
      </c>
      <c r="AH3" s="34">
        <v>82</v>
      </c>
      <c r="AI3" s="35">
        <f t="shared" ref="AI3:AI54" si="3">AD3+AE3+AF3+AG3+AH3</f>
        <v>300</v>
      </c>
      <c r="AK3" s="34">
        <v>171</v>
      </c>
      <c r="AL3" s="34" t="s">
        <v>378</v>
      </c>
      <c r="AM3" s="34">
        <v>21</v>
      </c>
      <c r="AN3" s="34">
        <v>84</v>
      </c>
      <c r="AO3" s="34">
        <v>85</v>
      </c>
      <c r="AP3" s="34">
        <v>20</v>
      </c>
      <c r="AQ3" s="34">
        <v>24</v>
      </c>
      <c r="AR3" s="35">
        <f t="shared" ref="AR3:AR55" si="4">AM3+AN3+AO3+AP3+AQ3</f>
        <v>234</v>
      </c>
      <c r="AT3" s="34">
        <v>224</v>
      </c>
      <c r="AU3" s="34" t="s">
        <v>379</v>
      </c>
      <c r="AV3" s="34">
        <v>64</v>
      </c>
      <c r="AW3" s="34">
        <v>28</v>
      </c>
      <c r="AX3" s="34">
        <v>30</v>
      </c>
      <c r="AY3" s="34">
        <v>71</v>
      </c>
      <c r="AZ3" s="34">
        <v>4</v>
      </c>
      <c r="BA3" s="35">
        <f t="shared" ref="BA3:BA54" si="5">AV3+AW3+AX3+AY3+AZ3</f>
        <v>197</v>
      </c>
      <c r="BC3" s="34">
        <v>276</v>
      </c>
      <c r="BD3" s="34" t="s">
        <v>380</v>
      </c>
      <c r="BE3" s="34">
        <v>72</v>
      </c>
      <c r="BF3" s="34">
        <v>75</v>
      </c>
      <c r="BG3" s="34">
        <v>70</v>
      </c>
      <c r="BH3" s="34">
        <v>10</v>
      </c>
      <c r="BI3" s="34">
        <v>53</v>
      </c>
      <c r="BJ3" s="35">
        <f t="shared" ref="BJ3:BJ54" si="6">BE3+BF3+BG3+BH3+BI3</f>
        <v>280</v>
      </c>
      <c r="BL3" s="34">
        <v>328</v>
      </c>
      <c r="BM3" s="34" t="s">
        <v>376</v>
      </c>
      <c r="BN3" s="34">
        <v>25</v>
      </c>
      <c r="BO3" s="34">
        <v>8</v>
      </c>
      <c r="BP3" s="34">
        <v>19</v>
      </c>
      <c r="BQ3" s="34">
        <v>53</v>
      </c>
      <c r="BR3" s="34">
        <v>73</v>
      </c>
      <c r="BS3" s="35">
        <f t="shared" ref="BS3:BS54" si="7">BN3+BO3+BP3+BQ3+BR3</f>
        <v>178</v>
      </c>
      <c r="BU3" s="34">
        <v>380</v>
      </c>
      <c r="BV3" s="34" t="s">
        <v>381</v>
      </c>
      <c r="BW3" s="34">
        <v>85</v>
      </c>
      <c r="BX3" s="34">
        <v>59</v>
      </c>
      <c r="BY3" s="34">
        <v>37</v>
      </c>
      <c r="BZ3" s="34">
        <v>65</v>
      </c>
      <c r="CA3" s="34">
        <v>89</v>
      </c>
      <c r="CB3" s="35">
        <f t="shared" ref="CB3:CB54" si="8">BW3+BX3+BY3+BZ3+CA3</f>
        <v>335</v>
      </c>
      <c r="CD3" s="34">
        <v>432</v>
      </c>
      <c r="CE3" s="34" t="s">
        <v>377</v>
      </c>
      <c r="CF3" s="34">
        <v>67</v>
      </c>
      <c r="CG3" s="34">
        <v>63</v>
      </c>
      <c r="CH3" s="34">
        <v>14</v>
      </c>
      <c r="CI3" s="34">
        <v>75</v>
      </c>
      <c r="CJ3" s="34">
        <v>17</v>
      </c>
      <c r="CK3" s="35">
        <f t="shared" ref="CK3:CK54" si="9">CF3+CG3+CH3+CI3+CJ3</f>
        <v>236</v>
      </c>
      <c r="CM3" s="34">
        <v>484</v>
      </c>
      <c r="CN3" s="34" t="s">
        <v>378</v>
      </c>
      <c r="CO3" s="34">
        <v>7</v>
      </c>
      <c r="CP3" s="34">
        <v>86</v>
      </c>
      <c r="CQ3" s="34">
        <v>18</v>
      </c>
      <c r="CR3" s="34">
        <v>71</v>
      </c>
      <c r="CS3" s="34">
        <v>21</v>
      </c>
      <c r="CT3" s="35">
        <f t="shared" ref="CT3:CT55" si="10">CO3+CP3+CQ3+CR3+CS3</f>
        <v>203</v>
      </c>
      <c r="CV3" s="34">
        <v>537</v>
      </c>
      <c r="CW3" s="34" t="s">
        <v>380</v>
      </c>
      <c r="CX3" s="34">
        <v>11</v>
      </c>
      <c r="CY3" s="34">
        <v>90</v>
      </c>
      <c r="CZ3" s="34">
        <v>22</v>
      </c>
      <c r="DA3" s="34">
        <v>8</v>
      </c>
      <c r="DB3" s="34">
        <v>62</v>
      </c>
      <c r="DC3" s="35">
        <f t="shared" ref="DC3:DC54" si="11">CX3+CY3+CZ3+DA3+DB3</f>
        <v>193</v>
      </c>
      <c r="DE3" s="34">
        <v>589</v>
      </c>
      <c r="DF3" s="34" t="s">
        <v>375</v>
      </c>
      <c r="DG3" s="34">
        <v>28</v>
      </c>
      <c r="DH3" s="34">
        <v>52</v>
      </c>
      <c r="DI3" s="34">
        <v>53</v>
      </c>
      <c r="DJ3" s="34">
        <v>12</v>
      </c>
      <c r="DK3" s="34">
        <v>25</v>
      </c>
      <c r="DL3" s="35">
        <f t="shared" ref="DL3:DL38" si="12">DG3+DH3+DI3+DJ3+DK3</f>
        <v>170</v>
      </c>
    </row>
    <row r="4" spans="1:116" ht="18" x14ac:dyDescent="0.2">
      <c r="A4" s="36">
        <v>2</v>
      </c>
      <c r="B4" s="36" t="s">
        <v>382</v>
      </c>
      <c r="C4" s="36">
        <v>79</v>
      </c>
      <c r="D4" s="36">
        <v>88</v>
      </c>
      <c r="E4" s="36">
        <v>25</v>
      </c>
      <c r="F4" s="36">
        <v>26</v>
      </c>
      <c r="G4" s="36">
        <v>47</v>
      </c>
      <c r="H4" s="35">
        <f t="shared" si="0"/>
        <v>265</v>
      </c>
      <c r="J4" s="36">
        <v>16</v>
      </c>
      <c r="K4" s="36" t="s">
        <v>383</v>
      </c>
      <c r="L4" s="36">
        <v>9</v>
      </c>
      <c r="M4" s="36">
        <v>55</v>
      </c>
      <c r="N4" s="36">
        <v>43</v>
      </c>
      <c r="O4" s="36">
        <v>80</v>
      </c>
      <c r="P4" s="36">
        <v>33</v>
      </c>
      <c r="Q4" s="35">
        <f t="shared" si="1"/>
        <v>220</v>
      </c>
      <c r="S4" s="36">
        <v>68</v>
      </c>
      <c r="T4" s="36" t="s">
        <v>384</v>
      </c>
      <c r="U4" s="36">
        <v>78</v>
      </c>
      <c r="V4" s="36">
        <v>80</v>
      </c>
      <c r="W4" s="36">
        <v>46</v>
      </c>
      <c r="X4" s="36">
        <v>9</v>
      </c>
      <c r="Y4" s="36">
        <v>41</v>
      </c>
      <c r="Z4" s="35">
        <f t="shared" si="2"/>
        <v>254</v>
      </c>
      <c r="AB4" s="36">
        <v>120</v>
      </c>
      <c r="AC4" s="36" t="s">
        <v>385</v>
      </c>
      <c r="AD4" s="36">
        <v>41</v>
      </c>
      <c r="AE4" s="36">
        <v>16</v>
      </c>
      <c r="AF4" s="36">
        <v>86</v>
      </c>
      <c r="AG4" s="36">
        <v>21</v>
      </c>
      <c r="AH4" s="36">
        <v>82</v>
      </c>
      <c r="AI4" s="35">
        <f t="shared" si="3"/>
        <v>246</v>
      </c>
      <c r="AK4" s="36">
        <v>172</v>
      </c>
      <c r="AL4" s="36" t="s">
        <v>386</v>
      </c>
      <c r="AM4" s="36">
        <v>73</v>
      </c>
      <c r="AN4" s="36">
        <v>52</v>
      </c>
      <c r="AO4" s="36">
        <v>54</v>
      </c>
      <c r="AP4" s="36">
        <v>30</v>
      </c>
      <c r="AQ4" s="36">
        <v>70</v>
      </c>
      <c r="AR4" s="35">
        <f t="shared" si="4"/>
        <v>279</v>
      </c>
      <c r="AT4" s="36">
        <v>225</v>
      </c>
      <c r="AU4" s="36" t="s">
        <v>387</v>
      </c>
      <c r="AV4" s="36">
        <v>50</v>
      </c>
      <c r="AW4" s="36">
        <v>73</v>
      </c>
      <c r="AX4" s="36">
        <v>59</v>
      </c>
      <c r="AY4" s="36">
        <v>76</v>
      </c>
      <c r="AZ4" s="36">
        <v>13</v>
      </c>
      <c r="BA4" s="35">
        <f t="shared" si="5"/>
        <v>271</v>
      </c>
      <c r="BC4" s="36">
        <v>277</v>
      </c>
      <c r="BD4" s="36" t="s">
        <v>388</v>
      </c>
      <c r="BE4" s="36">
        <v>86</v>
      </c>
      <c r="BF4" s="36">
        <v>23</v>
      </c>
      <c r="BG4" s="36">
        <v>28</v>
      </c>
      <c r="BH4" s="36">
        <v>6</v>
      </c>
      <c r="BI4" s="36">
        <v>14</v>
      </c>
      <c r="BJ4" s="35">
        <f t="shared" si="6"/>
        <v>157</v>
      </c>
      <c r="BL4" s="36">
        <v>329</v>
      </c>
      <c r="BM4" s="36" t="s">
        <v>384</v>
      </c>
      <c r="BN4" s="36">
        <v>35</v>
      </c>
      <c r="BO4" s="36">
        <v>2</v>
      </c>
      <c r="BP4" s="36">
        <v>27</v>
      </c>
      <c r="BQ4" s="36">
        <v>51</v>
      </c>
      <c r="BR4" s="36">
        <v>82</v>
      </c>
      <c r="BS4" s="35">
        <f t="shared" si="7"/>
        <v>197</v>
      </c>
      <c r="BU4" s="36">
        <v>381</v>
      </c>
      <c r="BV4" s="36" t="s">
        <v>389</v>
      </c>
      <c r="BW4" s="36">
        <v>46</v>
      </c>
      <c r="BX4" s="36">
        <v>1</v>
      </c>
      <c r="BY4" s="36">
        <v>7</v>
      </c>
      <c r="BZ4" s="36">
        <v>79</v>
      </c>
      <c r="CA4" s="36">
        <v>24</v>
      </c>
      <c r="CB4" s="35">
        <f t="shared" si="8"/>
        <v>157</v>
      </c>
      <c r="CD4" s="36">
        <v>433</v>
      </c>
      <c r="CE4" s="36" t="s">
        <v>385</v>
      </c>
      <c r="CF4" s="36">
        <v>8</v>
      </c>
      <c r="CG4" s="36">
        <v>19</v>
      </c>
      <c r="CH4" s="36">
        <v>52</v>
      </c>
      <c r="CI4" s="36">
        <v>10</v>
      </c>
      <c r="CJ4" s="36">
        <v>83</v>
      </c>
      <c r="CK4" s="35">
        <f t="shared" si="9"/>
        <v>172</v>
      </c>
      <c r="CM4" s="36">
        <v>485</v>
      </c>
      <c r="CN4" s="36" t="s">
        <v>386</v>
      </c>
      <c r="CO4" s="36">
        <v>27</v>
      </c>
      <c r="CP4" s="36">
        <v>42</v>
      </c>
      <c r="CQ4" s="36">
        <v>52</v>
      </c>
      <c r="CR4" s="36">
        <v>45</v>
      </c>
      <c r="CS4" s="36">
        <v>24</v>
      </c>
      <c r="CT4" s="35">
        <f t="shared" si="10"/>
        <v>190</v>
      </c>
      <c r="CV4" s="36">
        <v>538</v>
      </c>
      <c r="CW4" s="36" t="s">
        <v>388</v>
      </c>
      <c r="CX4" s="36">
        <v>60</v>
      </c>
      <c r="CY4" s="36">
        <v>4</v>
      </c>
      <c r="CZ4" s="36">
        <v>67</v>
      </c>
      <c r="DA4" s="36">
        <v>71</v>
      </c>
      <c r="DB4" s="36">
        <v>19</v>
      </c>
      <c r="DC4" s="35">
        <f t="shared" si="11"/>
        <v>221</v>
      </c>
      <c r="DE4" s="36">
        <v>590</v>
      </c>
      <c r="DF4" s="36" t="s">
        <v>383</v>
      </c>
      <c r="DG4" s="36">
        <v>58</v>
      </c>
      <c r="DH4" s="36">
        <v>37</v>
      </c>
      <c r="DI4" s="36">
        <v>49</v>
      </c>
      <c r="DJ4" s="36">
        <v>3</v>
      </c>
      <c r="DK4" s="36">
        <v>60</v>
      </c>
      <c r="DL4" s="35">
        <f t="shared" si="12"/>
        <v>207</v>
      </c>
    </row>
    <row r="5" spans="1:116" ht="18" x14ac:dyDescent="0.2">
      <c r="A5" s="34">
        <v>3</v>
      </c>
      <c r="B5" s="34" t="s">
        <v>390</v>
      </c>
      <c r="C5" s="34">
        <v>19</v>
      </c>
      <c r="D5" s="34">
        <v>86</v>
      </c>
      <c r="E5" s="34">
        <v>62</v>
      </c>
      <c r="F5" s="34">
        <v>46</v>
      </c>
      <c r="G5" s="34">
        <v>48</v>
      </c>
      <c r="H5" s="35">
        <f t="shared" si="0"/>
        <v>261</v>
      </c>
      <c r="J5" s="34">
        <v>17</v>
      </c>
      <c r="K5" s="34" t="s">
        <v>391</v>
      </c>
      <c r="L5" s="34">
        <v>62</v>
      </c>
      <c r="M5" s="34">
        <v>28</v>
      </c>
      <c r="N5" s="34">
        <v>10</v>
      </c>
      <c r="O5" s="34">
        <v>52</v>
      </c>
      <c r="P5" s="34">
        <v>85</v>
      </c>
      <c r="Q5" s="35">
        <f t="shared" si="1"/>
        <v>237</v>
      </c>
      <c r="S5" s="34">
        <v>69</v>
      </c>
      <c r="T5" s="34" t="s">
        <v>392</v>
      </c>
      <c r="U5" s="34">
        <v>48</v>
      </c>
      <c r="V5" s="34">
        <v>15</v>
      </c>
      <c r="W5" s="34">
        <v>1</v>
      </c>
      <c r="X5" s="34">
        <v>16</v>
      </c>
      <c r="Y5" s="34">
        <v>44</v>
      </c>
      <c r="Z5" s="35">
        <f t="shared" si="2"/>
        <v>124</v>
      </c>
      <c r="AB5" s="34">
        <v>121</v>
      </c>
      <c r="AC5" s="34" t="s">
        <v>393</v>
      </c>
      <c r="AD5" s="34">
        <v>58</v>
      </c>
      <c r="AE5" s="34">
        <v>54</v>
      </c>
      <c r="AF5" s="34">
        <v>25</v>
      </c>
      <c r="AG5" s="34">
        <v>80</v>
      </c>
      <c r="AH5" s="34">
        <v>35</v>
      </c>
      <c r="AI5" s="35">
        <f t="shared" si="3"/>
        <v>252</v>
      </c>
      <c r="AK5" s="34">
        <v>173</v>
      </c>
      <c r="AL5" s="34" t="s">
        <v>394</v>
      </c>
      <c r="AM5" s="34">
        <v>10</v>
      </c>
      <c r="AN5" s="34">
        <v>78</v>
      </c>
      <c r="AO5" s="34">
        <v>81</v>
      </c>
      <c r="AP5" s="34">
        <v>71</v>
      </c>
      <c r="AQ5" s="34">
        <v>14</v>
      </c>
      <c r="AR5" s="35">
        <f t="shared" si="4"/>
        <v>254</v>
      </c>
      <c r="AT5" s="34">
        <v>226</v>
      </c>
      <c r="AU5" s="34" t="s">
        <v>395</v>
      </c>
      <c r="AV5" s="34">
        <v>15</v>
      </c>
      <c r="AW5" s="34">
        <v>71</v>
      </c>
      <c r="AX5" s="34">
        <v>21</v>
      </c>
      <c r="AY5" s="34">
        <v>80</v>
      </c>
      <c r="AZ5" s="34">
        <v>59</v>
      </c>
      <c r="BA5" s="35">
        <f t="shared" si="5"/>
        <v>246</v>
      </c>
      <c r="BC5" s="34">
        <v>278</v>
      </c>
      <c r="BD5" s="34" t="s">
        <v>396</v>
      </c>
      <c r="BE5" s="34">
        <v>5</v>
      </c>
      <c r="BF5" s="34">
        <v>26</v>
      </c>
      <c r="BG5" s="34">
        <v>28</v>
      </c>
      <c r="BH5" s="34">
        <v>38</v>
      </c>
      <c r="BI5" s="34">
        <v>20</v>
      </c>
      <c r="BJ5" s="35">
        <f t="shared" si="6"/>
        <v>117</v>
      </c>
      <c r="BL5" s="34">
        <v>330</v>
      </c>
      <c r="BM5" s="34" t="s">
        <v>392</v>
      </c>
      <c r="BN5" s="34">
        <v>70</v>
      </c>
      <c r="BO5" s="34">
        <v>72</v>
      </c>
      <c r="BP5" s="34">
        <v>60</v>
      </c>
      <c r="BQ5" s="34">
        <v>8</v>
      </c>
      <c r="BR5" s="34">
        <v>15</v>
      </c>
      <c r="BS5" s="35">
        <f t="shared" si="7"/>
        <v>225</v>
      </c>
      <c r="BU5" s="34">
        <v>382</v>
      </c>
      <c r="BV5" s="34" t="s">
        <v>397</v>
      </c>
      <c r="BW5" s="34">
        <v>53</v>
      </c>
      <c r="BX5" s="34">
        <v>77</v>
      </c>
      <c r="BY5" s="34">
        <v>59</v>
      </c>
      <c r="BZ5" s="34">
        <v>20</v>
      </c>
      <c r="CA5" s="34">
        <v>7</v>
      </c>
      <c r="CB5" s="35">
        <f t="shared" si="8"/>
        <v>216</v>
      </c>
      <c r="CD5" s="34">
        <v>434</v>
      </c>
      <c r="CE5" s="34" t="s">
        <v>393</v>
      </c>
      <c r="CF5" s="34">
        <v>13</v>
      </c>
      <c r="CG5" s="34">
        <v>76</v>
      </c>
      <c r="CH5" s="34">
        <v>26</v>
      </c>
      <c r="CI5" s="34">
        <v>67</v>
      </c>
      <c r="CJ5" s="34">
        <v>53</v>
      </c>
      <c r="CK5" s="35">
        <f t="shared" si="9"/>
        <v>235</v>
      </c>
      <c r="CM5" s="34">
        <v>486</v>
      </c>
      <c r="CN5" s="34" t="s">
        <v>394</v>
      </c>
      <c r="CO5" s="34">
        <v>79</v>
      </c>
      <c r="CP5" s="34">
        <v>73</v>
      </c>
      <c r="CQ5" s="34">
        <v>52</v>
      </c>
      <c r="CR5" s="34">
        <v>35</v>
      </c>
      <c r="CS5" s="34">
        <v>17</v>
      </c>
      <c r="CT5" s="35">
        <f t="shared" si="10"/>
        <v>256</v>
      </c>
      <c r="CV5" s="34">
        <v>539</v>
      </c>
      <c r="CW5" s="34" t="s">
        <v>396</v>
      </c>
      <c r="CX5" s="34">
        <v>17</v>
      </c>
      <c r="CY5" s="34">
        <v>61</v>
      </c>
      <c r="CZ5" s="34">
        <v>16</v>
      </c>
      <c r="DA5" s="34">
        <v>46</v>
      </c>
      <c r="DB5" s="34">
        <v>27</v>
      </c>
      <c r="DC5" s="35">
        <f t="shared" si="11"/>
        <v>167</v>
      </c>
      <c r="DE5" s="34">
        <v>591</v>
      </c>
      <c r="DF5" s="34" t="s">
        <v>391</v>
      </c>
      <c r="DG5" s="34">
        <v>81</v>
      </c>
      <c r="DH5" s="34">
        <v>51</v>
      </c>
      <c r="DI5" s="34">
        <v>5</v>
      </c>
      <c r="DJ5" s="34">
        <v>88</v>
      </c>
      <c r="DK5" s="34">
        <v>58</v>
      </c>
      <c r="DL5" s="35">
        <f t="shared" si="12"/>
        <v>283</v>
      </c>
    </row>
    <row r="6" spans="1:116" ht="18" x14ac:dyDescent="0.2">
      <c r="A6" s="36">
        <v>4</v>
      </c>
      <c r="B6" s="36" t="s">
        <v>398</v>
      </c>
      <c r="C6" s="36">
        <v>23</v>
      </c>
      <c r="D6" s="36">
        <v>20</v>
      </c>
      <c r="E6" s="36">
        <v>90</v>
      </c>
      <c r="F6" s="36">
        <v>4</v>
      </c>
      <c r="G6" s="36">
        <v>63</v>
      </c>
      <c r="H6" s="35">
        <f t="shared" si="0"/>
        <v>200</v>
      </c>
      <c r="J6" s="36">
        <v>18</v>
      </c>
      <c r="K6" s="36" t="s">
        <v>399</v>
      </c>
      <c r="L6" s="36">
        <v>88</v>
      </c>
      <c r="M6" s="36">
        <v>84</v>
      </c>
      <c r="N6" s="36">
        <v>28</v>
      </c>
      <c r="O6" s="36">
        <v>89</v>
      </c>
      <c r="P6" s="36">
        <v>2</v>
      </c>
      <c r="Q6" s="35">
        <f t="shared" si="1"/>
        <v>291</v>
      </c>
      <c r="S6" s="36">
        <v>70</v>
      </c>
      <c r="T6" s="36" t="s">
        <v>400</v>
      </c>
      <c r="U6" s="36">
        <v>64</v>
      </c>
      <c r="V6" s="36">
        <v>70</v>
      </c>
      <c r="W6" s="36">
        <v>83</v>
      </c>
      <c r="X6" s="36">
        <v>56</v>
      </c>
      <c r="Y6" s="36">
        <v>75</v>
      </c>
      <c r="Z6" s="35">
        <f t="shared" si="2"/>
        <v>348</v>
      </c>
      <c r="AB6" s="36">
        <v>122</v>
      </c>
      <c r="AC6" s="36" t="s">
        <v>401</v>
      </c>
      <c r="AD6" s="36">
        <v>5</v>
      </c>
      <c r="AE6" s="36">
        <v>6</v>
      </c>
      <c r="AF6" s="36">
        <v>11</v>
      </c>
      <c r="AG6" s="36">
        <v>7</v>
      </c>
      <c r="AH6" s="36">
        <v>4</v>
      </c>
      <c r="AI6" s="35">
        <f t="shared" si="3"/>
        <v>33</v>
      </c>
      <c r="AK6" s="36">
        <v>174</v>
      </c>
      <c r="AL6" s="36" t="s">
        <v>402</v>
      </c>
      <c r="AM6" s="36">
        <v>67</v>
      </c>
      <c r="AN6" s="36">
        <v>11</v>
      </c>
      <c r="AO6" s="36">
        <v>90</v>
      </c>
      <c r="AP6" s="36">
        <v>59</v>
      </c>
      <c r="AQ6" s="36">
        <v>51</v>
      </c>
      <c r="AR6" s="35">
        <f t="shared" si="4"/>
        <v>278</v>
      </c>
      <c r="AT6" s="36">
        <v>227</v>
      </c>
      <c r="AU6" s="36" t="s">
        <v>403</v>
      </c>
      <c r="AV6" s="36">
        <v>30</v>
      </c>
      <c r="AW6" s="36">
        <v>61</v>
      </c>
      <c r="AX6" s="36">
        <v>34</v>
      </c>
      <c r="AY6" s="36">
        <v>19</v>
      </c>
      <c r="AZ6" s="36">
        <v>75</v>
      </c>
      <c r="BA6" s="35">
        <f t="shared" si="5"/>
        <v>219</v>
      </c>
      <c r="BC6" s="36">
        <v>279</v>
      </c>
      <c r="BD6" s="36" t="s">
        <v>404</v>
      </c>
      <c r="BE6" s="36">
        <v>60</v>
      </c>
      <c r="BF6" s="36">
        <v>61</v>
      </c>
      <c r="BG6" s="36">
        <v>76</v>
      </c>
      <c r="BH6" s="36">
        <v>16</v>
      </c>
      <c r="BI6" s="36">
        <v>6</v>
      </c>
      <c r="BJ6" s="35">
        <f t="shared" si="6"/>
        <v>219</v>
      </c>
      <c r="BL6" s="36">
        <v>331</v>
      </c>
      <c r="BM6" s="36" t="s">
        <v>400</v>
      </c>
      <c r="BN6" s="36">
        <v>61</v>
      </c>
      <c r="BO6" s="36">
        <v>26</v>
      </c>
      <c r="BP6" s="36">
        <v>86</v>
      </c>
      <c r="BQ6" s="36">
        <v>74</v>
      </c>
      <c r="BR6" s="36">
        <v>45</v>
      </c>
      <c r="BS6" s="35">
        <f t="shared" si="7"/>
        <v>292</v>
      </c>
      <c r="BU6" s="36">
        <v>383</v>
      </c>
      <c r="BV6" s="36" t="s">
        <v>405</v>
      </c>
      <c r="BW6" s="36">
        <v>76</v>
      </c>
      <c r="BX6" s="36">
        <v>42</v>
      </c>
      <c r="BY6" s="36">
        <v>66</v>
      </c>
      <c r="BZ6" s="36">
        <v>48</v>
      </c>
      <c r="CA6" s="36">
        <v>86</v>
      </c>
      <c r="CB6" s="35">
        <f t="shared" si="8"/>
        <v>318</v>
      </c>
      <c r="CD6" s="36">
        <v>435</v>
      </c>
      <c r="CE6" s="36" t="s">
        <v>401</v>
      </c>
      <c r="CF6" s="36">
        <v>23</v>
      </c>
      <c r="CG6" s="36">
        <v>22</v>
      </c>
      <c r="CH6" s="36">
        <v>82</v>
      </c>
      <c r="CI6" s="36">
        <v>79</v>
      </c>
      <c r="CJ6" s="36">
        <v>65</v>
      </c>
      <c r="CK6" s="35">
        <f t="shared" si="9"/>
        <v>271</v>
      </c>
      <c r="CM6" s="36">
        <v>487</v>
      </c>
      <c r="CN6" s="36" t="s">
        <v>402</v>
      </c>
      <c r="CO6" s="36">
        <v>57</v>
      </c>
      <c r="CP6" s="36">
        <v>81</v>
      </c>
      <c r="CQ6" s="36">
        <v>29</v>
      </c>
      <c r="CR6" s="36">
        <v>12</v>
      </c>
      <c r="CS6" s="36">
        <v>76</v>
      </c>
      <c r="CT6" s="35">
        <f t="shared" si="10"/>
        <v>255</v>
      </c>
      <c r="CV6" s="36">
        <v>540</v>
      </c>
      <c r="CW6" s="36" t="s">
        <v>404</v>
      </c>
      <c r="CX6" s="36">
        <v>13</v>
      </c>
      <c r="CY6" s="36">
        <v>33</v>
      </c>
      <c r="CZ6" s="36">
        <v>19</v>
      </c>
      <c r="DA6" s="36">
        <v>18</v>
      </c>
      <c r="DB6" s="36">
        <v>49</v>
      </c>
      <c r="DC6" s="35">
        <f t="shared" si="11"/>
        <v>132</v>
      </c>
      <c r="DE6" s="36">
        <v>592</v>
      </c>
      <c r="DF6" s="36" t="s">
        <v>399</v>
      </c>
      <c r="DG6" s="36">
        <v>70</v>
      </c>
      <c r="DH6" s="36">
        <v>37</v>
      </c>
      <c r="DI6" s="36">
        <v>11</v>
      </c>
      <c r="DJ6" s="36">
        <v>19</v>
      </c>
      <c r="DK6" s="36">
        <v>73</v>
      </c>
      <c r="DL6" s="35">
        <f t="shared" si="12"/>
        <v>210</v>
      </c>
    </row>
    <row r="7" spans="1:116" ht="18" x14ac:dyDescent="0.2">
      <c r="A7" s="34">
        <v>5</v>
      </c>
      <c r="B7" s="34" t="s">
        <v>406</v>
      </c>
      <c r="C7" s="34">
        <v>71</v>
      </c>
      <c r="D7" s="34">
        <v>82</v>
      </c>
      <c r="E7" s="34">
        <v>12</v>
      </c>
      <c r="F7" s="34">
        <v>53</v>
      </c>
      <c r="G7" s="34">
        <v>86</v>
      </c>
      <c r="H7" s="35">
        <f t="shared" si="0"/>
        <v>304</v>
      </c>
      <c r="J7" s="34">
        <v>19</v>
      </c>
      <c r="K7" s="34" t="s">
        <v>407</v>
      </c>
      <c r="L7" s="34">
        <v>42</v>
      </c>
      <c r="M7" s="34">
        <v>26</v>
      </c>
      <c r="N7" s="34">
        <v>76</v>
      </c>
      <c r="O7" s="34">
        <v>61</v>
      </c>
      <c r="P7" s="34">
        <v>39</v>
      </c>
      <c r="Q7" s="35">
        <f t="shared" si="1"/>
        <v>244</v>
      </c>
      <c r="S7" s="34">
        <v>71</v>
      </c>
      <c r="T7" s="34" t="s">
        <v>408</v>
      </c>
      <c r="U7" s="34">
        <v>71</v>
      </c>
      <c r="V7" s="34">
        <v>44</v>
      </c>
      <c r="W7" s="34">
        <v>45</v>
      </c>
      <c r="X7" s="34">
        <v>25</v>
      </c>
      <c r="Y7" s="34">
        <v>57</v>
      </c>
      <c r="Z7" s="35">
        <f t="shared" si="2"/>
        <v>242</v>
      </c>
      <c r="AB7" s="34">
        <v>123</v>
      </c>
      <c r="AC7" s="34" t="s">
        <v>409</v>
      </c>
      <c r="AD7" s="34">
        <v>6</v>
      </c>
      <c r="AE7" s="34">
        <v>54</v>
      </c>
      <c r="AF7" s="34">
        <v>18</v>
      </c>
      <c r="AG7" s="34">
        <v>31</v>
      </c>
      <c r="AH7" s="34">
        <v>69</v>
      </c>
      <c r="AI7" s="35">
        <f t="shared" si="3"/>
        <v>178</v>
      </c>
      <c r="AK7" s="34">
        <v>175</v>
      </c>
      <c r="AL7" s="34" t="s">
        <v>410</v>
      </c>
      <c r="AM7" s="34">
        <v>63</v>
      </c>
      <c r="AN7" s="34">
        <v>17</v>
      </c>
      <c r="AO7" s="34">
        <v>12</v>
      </c>
      <c r="AP7" s="34">
        <v>87</v>
      </c>
      <c r="AQ7" s="34">
        <v>86</v>
      </c>
      <c r="AR7" s="35">
        <f t="shared" si="4"/>
        <v>265</v>
      </c>
      <c r="AT7" s="34">
        <v>228</v>
      </c>
      <c r="AU7" s="34" t="s">
        <v>411</v>
      </c>
      <c r="AV7" s="34">
        <v>51</v>
      </c>
      <c r="AW7" s="34">
        <v>21</v>
      </c>
      <c r="AX7" s="34">
        <v>30</v>
      </c>
      <c r="AY7" s="34">
        <v>2</v>
      </c>
      <c r="AZ7" s="34">
        <v>87</v>
      </c>
      <c r="BA7" s="35">
        <f t="shared" si="5"/>
        <v>191</v>
      </c>
      <c r="BC7" s="34">
        <v>280</v>
      </c>
      <c r="BD7" s="34" t="s">
        <v>412</v>
      </c>
      <c r="BE7" s="34">
        <v>34</v>
      </c>
      <c r="BF7" s="34">
        <v>79</v>
      </c>
      <c r="BG7" s="34">
        <v>53</v>
      </c>
      <c r="BH7" s="34">
        <v>75</v>
      </c>
      <c r="BI7" s="34">
        <v>31</v>
      </c>
      <c r="BJ7" s="35">
        <f t="shared" si="6"/>
        <v>272</v>
      </c>
      <c r="BL7" s="34">
        <v>332</v>
      </c>
      <c r="BM7" s="34" t="s">
        <v>408</v>
      </c>
      <c r="BN7" s="34">
        <v>24</v>
      </c>
      <c r="BO7" s="34">
        <v>79</v>
      </c>
      <c r="BP7" s="34">
        <v>5</v>
      </c>
      <c r="BQ7" s="34">
        <v>21</v>
      </c>
      <c r="BR7" s="34">
        <v>56</v>
      </c>
      <c r="BS7" s="35">
        <f t="shared" si="7"/>
        <v>185</v>
      </c>
      <c r="BU7" s="34">
        <v>384</v>
      </c>
      <c r="BV7" s="34" t="s">
        <v>413</v>
      </c>
      <c r="BW7" s="34">
        <v>55</v>
      </c>
      <c r="BX7" s="34">
        <v>31</v>
      </c>
      <c r="BY7" s="34">
        <v>57</v>
      </c>
      <c r="BZ7" s="34">
        <v>26</v>
      </c>
      <c r="CA7" s="34">
        <v>28</v>
      </c>
      <c r="CB7" s="35">
        <f t="shared" si="8"/>
        <v>197</v>
      </c>
      <c r="CD7" s="34">
        <v>436</v>
      </c>
      <c r="CE7" s="34" t="s">
        <v>409</v>
      </c>
      <c r="CF7" s="34">
        <v>39</v>
      </c>
      <c r="CG7" s="34">
        <v>11</v>
      </c>
      <c r="CH7" s="34">
        <v>81</v>
      </c>
      <c r="CI7" s="34">
        <v>44</v>
      </c>
      <c r="CJ7" s="34">
        <v>12</v>
      </c>
      <c r="CK7" s="35">
        <f t="shared" si="9"/>
        <v>187</v>
      </c>
      <c r="CM7" s="34">
        <v>488</v>
      </c>
      <c r="CN7" s="34" t="s">
        <v>410</v>
      </c>
      <c r="CO7" s="34">
        <v>74</v>
      </c>
      <c r="CP7" s="34">
        <v>15</v>
      </c>
      <c r="CQ7" s="34">
        <v>71</v>
      </c>
      <c r="CR7" s="34">
        <v>45</v>
      </c>
      <c r="CS7" s="34">
        <v>53</v>
      </c>
      <c r="CT7" s="35">
        <f t="shared" si="10"/>
        <v>258</v>
      </c>
      <c r="CV7" s="34">
        <v>541</v>
      </c>
      <c r="CW7" s="34" t="s">
        <v>412</v>
      </c>
      <c r="CX7" s="34">
        <v>3</v>
      </c>
      <c r="CY7" s="34">
        <v>50</v>
      </c>
      <c r="CZ7" s="34">
        <v>64</v>
      </c>
      <c r="DA7" s="34">
        <v>52</v>
      </c>
      <c r="DB7" s="34">
        <v>40</v>
      </c>
      <c r="DC7" s="35">
        <f t="shared" si="11"/>
        <v>209</v>
      </c>
      <c r="DE7" s="34">
        <v>593</v>
      </c>
      <c r="DF7" s="34" t="s">
        <v>407</v>
      </c>
      <c r="DG7" s="34">
        <v>22</v>
      </c>
      <c r="DH7" s="34">
        <v>90</v>
      </c>
      <c r="DI7" s="34">
        <v>81</v>
      </c>
      <c r="DJ7" s="34">
        <v>82</v>
      </c>
      <c r="DK7" s="34">
        <v>49</v>
      </c>
      <c r="DL7" s="35">
        <f t="shared" si="12"/>
        <v>324</v>
      </c>
    </row>
    <row r="8" spans="1:116" ht="18" x14ac:dyDescent="0.2">
      <c r="A8" s="36">
        <v>6</v>
      </c>
      <c r="B8" s="36" t="s">
        <v>414</v>
      </c>
      <c r="C8" s="36">
        <v>28</v>
      </c>
      <c r="D8" s="36">
        <v>84</v>
      </c>
      <c r="E8" s="36">
        <v>50</v>
      </c>
      <c r="F8" s="36">
        <v>48</v>
      </c>
      <c r="G8" s="36">
        <v>52</v>
      </c>
      <c r="H8" s="35">
        <f t="shared" si="0"/>
        <v>262</v>
      </c>
      <c r="J8" s="36">
        <v>20</v>
      </c>
      <c r="K8" s="36" t="s">
        <v>415</v>
      </c>
      <c r="L8" s="36">
        <v>77</v>
      </c>
      <c r="M8" s="36">
        <v>41</v>
      </c>
      <c r="N8" s="36">
        <v>32</v>
      </c>
      <c r="O8" s="36">
        <v>79</v>
      </c>
      <c r="P8" s="36">
        <v>8</v>
      </c>
      <c r="Q8" s="35">
        <f t="shared" si="1"/>
        <v>237</v>
      </c>
      <c r="S8" s="36">
        <v>72</v>
      </c>
      <c r="T8" s="36" t="s">
        <v>416</v>
      </c>
      <c r="U8" s="36">
        <v>61</v>
      </c>
      <c r="V8" s="36">
        <v>28</v>
      </c>
      <c r="W8" s="36">
        <v>54</v>
      </c>
      <c r="X8" s="36">
        <v>21</v>
      </c>
      <c r="Y8" s="36">
        <v>12</v>
      </c>
      <c r="Z8" s="35">
        <f t="shared" si="2"/>
        <v>176</v>
      </c>
      <c r="AB8" s="36">
        <v>124</v>
      </c>
      <c r="AC8" s="36" t="s">
        <v>417</v>
      </c>
      <c r="AD8" s="36">
        <v>33</v>
      </c>
      <c r="AE8" s="36">
        <v>59</v>
      </c>
      <c r="AF8" s="36">
        <v>47</v>
      </c>
      <c r="AG8" s="36">
        <v>85</v>
      </c>
      <c r="AH8" s="36">
        <v>53</v>
      </c>
      <c r="AI8" s="35">
        <f t="shared" si="3"/>
        <v>277</v>
      </c>
      <c r="AK8" s="36">
        <v>176</v>
      </c>
      <c r="AL8" s="36" t="s">
        <v>418</v>
      </c>
      <c r="AM8" s="36">
        <v>28</v>
      </c>
      <c r="AN8" s="36">
        <v>86</v>
      </c>
      <c r="AO8" s="36">
        <v>89</v>
      </c>
      <c r="AP8" s="36">
        <v>36</v>
      </c>
      <c r="AQ8" s="36">
        <v>20</v>
      </c>
      <c r="AR8" s="35">
        <f t="shared" si="4"/>
        <v>259</v>
      </c>
      <c r="AT8" s="36">
        <v>229</v>
      </c>
      <c r="AU8" s="36" t="s">
        <v>419</v>
      </c>
      <c r="AV8" s="36">
        <v>79</v>
      </c>
      <c r="AW8" s="36">
        <v>56</v>
      </c>
      <c r="AX8" s="36">
        <v>32</v>
      </c>
      <c r="AY8" s="36">
        <v>16</v>
      </c>
      <c r="AZ8" s="36">
        <v>28</v>
      </c>
      <c r="BA8" s="35">
        <f t="shared" si="5"/>
        <v>211</v>
      </c>
      <c r="BC8" s="36">
        <v>281</v>
      </c>
      <c r="BD8" s="36" t="s">
        <v>420</v>
      </c>
      <c r="BE8" s="36">
        <v>69</v>
      </c>
      <c r="BF8" s="36">
        <v>74</v>
      </c>
      <c r="BG8" s="36">
        <v>51</v>
      </c>
      <c r="BH8" s="36">
        <v>38</v>
      </c>
      <c r="BI8" s="36">
        <v>71</v>
      </c>
      <c r="BJ8" s="35">
        <f t="shared" si="6"/>
        <v>303</v>
      </c>
      <c r="BL8" s="36">
        <v>333</v>
      </c>
      <c r="BM8" s="36" t="s">
        <v>416</v>
      </c>
      <c r="BN8" s="36">
        <v>33</v>
      </c>
      <c r="BO8" s="36">
        <v>74</v>
      </c>
      <c r="BP8" s="36">
        <v>78</v>
      </c>
      <c r="BQ8" s="36">
        <v>11</v>
      </c>
      <c r="BR8" s="36">
        <v>90</v>
      </c>
      <c r="BS8" s="35">
        <f t="shared" si="7"/>
        <v>286</v>
      </c>
      <c r="BU8" s="36">
        <v>385</v>
      </c>
      <c r="BV8" s="36" t="s">
        <v>421</v>
      </c>
      <c r="BW8" s="36">
        <v>77</v>
      </c>
      <c r="BX8" s="36">
        <v>51</v>
      </c>
      <c r="BY8" s="36">
        <v>55</v>
      </c>
      <c r="BZ8" s="36">
        <v>23</v>
      </c>
      <c r="CA8" s="36">
        <v>89</v>
      </c>
      <c r="CB8" s="35">
        <f t="shared" si="8"/>
        <v>295</v>
      </c>
      <c r="CD8" s="36">
        <v>437</v>
      </c>
      <c r="CE8" s="36" t="s">
        <v>417</v>
      </c>
      <c r="CF8" s="36">
        <v>66</v>
      </c>
      <c r="CG8" s="36">
        <v>40</v>
      </c>
      <c r="CH8" s="36">
        <v>31</v>
      </c>
      <c r="CI8" s="36">
        <v>10</v>
      </c>
      <c r="CJ8" s="36">
        <v>22</v>
      </c>
      <c r="CK8" s="35">
        <f t="shared" si="9"/>
        <v>169</v>
      </c>
      <c r="CM8" s="36">
        <v>489</v>
      </c>
      <c r="CN8" s="36" t="s">
        <v>418</v>
      </c>
      <c r="CO8" s="36">
        <v>74</v>
      </c>
      <c r="CP8" s="36">
        <v>51</v>
      </c>
      <c r="CQ8" s="36">
        <v>54</v>
      </c>
      <c r="CR8" s="36">
        <v>77</v>
      </c>
      <c r="CS8" s="36">
        <v>47</v>
      </c>
      <c r="CT8" s="35">
        <f t="shared" si="10"/>
        <v>303</v>
      </c>
      <c r="CV8" s="36">
        <v>542</v>
      </c>
      <c r="CW8" s="36" t="s">
        <v>420</v>
      </c>
      <c r="CX8" s="36">
        <v>65</v>
      </c>
      <c r="CY8" s="36">
        <v>43</v>
      </c>
      <c r="CZ8" s="36">
        <v>68</v>
      </c>
      <c r="DA8" s="36">
        <v>63</v>
      </c>
      <c r="DB8" s="36">
        <v>21</v>
      </c>
      <c r="DC8" s="35">
        <f t="shared" si="11"/>
        <v>260</v>
      </c>
      <c r="DE8" s="36">
        <v>594</v>
      </c>
      <c r="DF8" s="36" t="s">
        <v>415</v>
      </c>
      <c r="DG8" s="36">
        <v>74</v>
      </c>
      <c r="DH8" s="36">
        <v>13</v>
      </c>
      <c r="DI8" s="36">
        <v>47</v>
      </c>
      <c r="DJ8" s="36">
        <v>2</v>
      </c>
      <c r="DK8" s="36">
        <v>10</v>
      </c>
      <c r="DL8" s="35">
        <f t="shared" si="12"/>
        <v>146</v>
      </c>
    </row>
    <row r="9" spans="1:116" ht="18" x14ac:dyDescent="0.2">
      <c r="A9" s="34">
        <v>7</v>
      </c>
      <c r="B9" s="34" t="s">
        <v>422</v>
      </c>
      <c r="C9" s="34">
        <v>31</v>
      </c>
      <c r="D9" s="34">
        <v>37</v>
      </c>
      <c r="E9" s="34">
        <v>78</v>
      </c>
      <c r="F9" s="34">
        <v>24</v>
      </c>
      <c r="G9" s="34">
        <v>7</v>
      </c>
      <c r="H9" s="35">
        <f t="shared" si="0"/>
        <v>177</v>
      </c>
      <c r="J9" s="34">
        <v>21</v>
      </c>
      <c r="K9" s="34" t="s">
        <v>423</v>
      </c>
      <c r="L9" s="34">
        <v>42</v>
      </c>
      <c r="M9" s="34">
        <v>70</v>
      </c>
      <c r="N9" s="34">
        <v>71</v>
      </c>
      <c r="O9" s="34">
        <v>9</v>
      </c>
      <c r="P9" s="34">
        <v>74</v>
      </c>
      <c r="Q9" s="35">
        <f t="shared" si="1"/>
        <v>266</v>
      </c>
      <c r="S9" s="34">
        <v>73</v>
      </c>
      <c r="T9" s="34" t="s">
        <v>424</v>
      </c>
      <c r="U9" s="34">
        <v>29</v>
      </c>
      <c r="V9" s="34">
        <v>87</v>
      </c>
      <c r="W9" s="34">
        <v>85</v>
      </c>
      <c r="X9" s="34">
        <v>65</v>
      </c>
      <c r="Y9" s="34">
        <v>64</v>
      </c>
      <c r="Z9" s="35">
        <f t="shared" si="2"/>
        <v>330</v>
      </c>
      <c r="AB9" s="34">
        <v>125</v>
      </c>
      <c r="AC9" s="34" t="s">
        <v>425</v>
      </c>
      <c r="AD9" s="34">
        <v>57</v>
      </c>
      <c r="AE9" s="34">
        <v>13</v>
      </c>
      <c r="AF9" s="34">
        <v>80</v>
      </c>
      <c r="AG9" s="34">
        <v>83</v>
      </c>
      <c r="AH9" s="34">
        <v>30</v>
      </c>
      <c r="AI9" s="35">
        <f t="shared" si="3"/>
        <v>263</v>
      </c>
      <c r="AK9" s="34">
        <v>177</v>
      </c>
      <c r="AL9" s="34" t="s">
        <v>426</v>
      </c>
      <c r="AM9" s="34">
        <v>89</v>
      </c>
      <c r="AN9" s="34">
        <v>61</v>
      </c>
      <c r="AO9" s="34">
        <v>78</v>
      </c>
      <c r="AP9" s="34">
        <v>21</v>
      </c>
      <c r="AQ9" s="34">
        <v>80</v>
      </c>
      <c r="AR9" s="35">
        <f t="shared" si="4"/>
        <v>329</v>
      </c>
      <c r="AT9" s="34">
        <v>230</v>
      </c>
      <c r="AU9" s="34" t="s">
        <v>427</v>
      </c>
      <c r="AV9" s="34">
        <v>31</v>
      </c>
      <c r="AW9" s="34">
        <v>67</v>
      </c>
      <c r="AX9" s="34">
        <v>88</v>
      </c>
      <c r="AY9" s="34">
        <v>71</v>
      </c>
      <c r="AZ9" s="34">
        <v>40</v>
      </c>
      <c r="BA9" s="35">
        <f t="shared" si="5"/>
        <v>297</v>
      </c>
      <c r="BC9" s="34">
        <v>282</v>
      </c>
      <c r="BD9" s="34" t="s">
        <v>428</v>
      </c>
      <c r="BE9" s="34">
        <v>27</v>
      </c>
      <c r="BF9" s="34">
        <v>36</v>
      </c>
      <c r="BG9" s="34">
        <v>61</v>
      </c>
      <c r="BH9" s="34">
        <v>67</v>
      </c>
      <c r="BI9" s="34">
        <v>69</v>
      </c>
      <c r="BJ9" s="35">
        <f t="shared" si="6"/>
        <v>260</v>
      </c>
      <c r="BL9" s="34">
        <v>334</v>
      </c>
      <c r="BM9" s="34" t="s">
        <v>424</v>
      </c>
      <c r="BN9" s="34">
        <v>27</v>
      </c>
      <c r="BO9" s="34">
        <v>72</v>
      </c>
      <c r="BP9" s="34">
        <v>85</v>
      </c>
      <c r="BQ9" s="34">
        <v>25</v>
      </c>
      <c r="BR9" s="34">
        <v>77</v>
      </c>
      <c r="BS9" s="35">
        <f t="shared" si="7"/>
        <v>286</v>
      </c>
      <c r="BU9" s="34">
        <v>386</v>
      </c>
      <c r="BV9" s="34" t="s">
        <v>429</v>
      </c>
      <c r="BW9" s="34">
        <v>7</v>
      </c>
      <c r="BX9" s="34">
        <v>42</v>
      </c>
      <c r="BY9" s="34">
        <v>45</v>
      </c>
      <c r="BZ9" s="34">
        <v>57</v>
      </c>
      <c r="CA9" s="34">
        <v>76</v>
      </c>
      <c r="CB9" s="35">
        <f t="shared" si="8"/>
        <v>227</v>
      </c>
      <c r="CD9" s="34">
        <v>438</v>
      </c>
      <c r="CE9" s="34" t="s">
        <v>425</v>
      </c>
      <c r="CF9" s="34">
        <v>46</v>
      </c>
      <c r="CG9" s="34">
        <v>2</v>
      </c>
      <c r="CH9" s="34">
        <v>69</v>
      </c>
      <c r="CI9" s="34">
        <v>51</v>
      </c>
      <c r="CJ9" s="34">
        <v>28</v>
      </c>
      <c r="CK9" s="35">
        <f t="shared" si="9"/>
        <v>196</v>
      </c>
      <c r="CM9" s="34">
        <v>490</v>
      </c>
      <c r="CN9" s="34" t="s">
        <v>426</v>
      </c>
      <c r="CO9" s="34">
        <v>12</v>
      </c>
      <c r="CP9" s="34">
        <v>44</v>
      </c>
      <c r="CQ9" s="34">
        <v>54</v>
      </c>
      <c r="CR9" s="34">
        <v>28</v>
      </c>
      <c r="CS9" s="34">
        <v>8</v>
      </c>
      <c r="CT9" s="35">
        <f t="shared" si="10"/>
        <v>146</v>
      </c>
      <c r="CV9" s="34">
        <v>543</v>
      </c>
      <c r="CW9" s="34" t="s">
        <v>428</v>
      </c>
      <c r="CX9" s="34">
        <v>23</v>
      </c>
      <c r="CY9" s="34">
        <v>50</v>
      </c>
      <c r="CZ9" s="34">
        <v>41</v>
      </c>
      <c r="DA9" s="34">
        <v>48</v>
      </c>
      <c r="DB9" s="34">
        <v>75</v>
      </c>
      <c r="DC9" s="35">
        <f t="shared" si="11"/>
        <v>237</v>
      </c>
      <c r="DE9" s="34">
        <v>595</v>
      </c>
      <c r="DF9" s="34" t="s">
        <v>423</v>
      </c>
      <c r="DG9" s="34">
        <v>22</v>
      </c>
      <c r="DH9" s="34">
        <v>38</v>
      </c>
      <c r="DI9" s="34">
        <v>46</v>
      </c>
      <c r="DJ9" s="34">
        <v>21</v>
      </c>
      <c r="DK9" s="34">
        <v>57</v>
      </c>
      <c r="DL9" s="35">
        <f t="shared" si="12"/>
        <v>184</v>
      </c>
    </row>
    <row r="10" spans="1:116" ht="18" x14ac:dyDescent="0.2">
      <c r="A10" s="36">
        <v>8</v>
      </c>
      <c r="B10" s="36" t="s">
        <v>430</v>
      </c>
      <c r="C10" s="36">
        <v>37</v>
      </c>
      <c r="D10" s="36">
        <v>71</v>
      </c>
      <c r="E10" s="36">
        <v>90</v>
      </c>
      <c r="F10" s="36">
        <v>13</v>
      </c>
      <c r="G10" s="36">
        <v>18</v>
      </c>
      <c r="H10" s="35">
        <f t="shared" si="0"/>
        <v>229</v>
      </c>
      <c r="J10" s="36">
        <v>22</v>
      </c>
      <c r="K10" s="36" t="s">
        <v>431</v>
      </c>
      <c r="L10" s="36">
        <v>34</v>
      </c>
      <c r="M10" s="36">
        <v>39</v>
      </c>
      <c r="N10" s="36">
        <v>48</v>
      </c>
      <c r="O10" s="36">
        <v>22</v>
      </c>
      <c r="P10" s="36">
        <v>69</v>
      </c>
      <c r="Q10" s="35">
        <f t="shared" si="1"/>
        <v>212</v>
      </c>
      <c r="S10" s="36">
        <v>74</v>
      </c>
      <c r="T10" s="36" t="s">
        <v>432</v>
      </c>
      <c r="U10" s="36">
        <v>87</v>
      </c>
      <c r="V10" s="36">
        <v>59</v>
      </c>
      <c r="W10" s="36">
        <v>83</v>
      </c>
      <c r="X10" s="36">
        <v>30</v>
      </c>
      <c r="Y10" s="36">
        <v>38</v>
      </c>
      <c r="Z10" s="35">
        <f t="shared" si="2"/>
        <v>297</v>
      </c>
      <c r="AB10" s="36">
        <v>126</v>
      </c>
      <c r="AC10" s="36" t="s">
        <v>433</v>
      </c>
      <c r="AD10" s="36">
        <v>32</v>
      </c>
      <c r="AE10" s="36">
        <v>3</v>
      </c>
      <c r="AF10" s="36">
        <v>69</v>
      </c>
      <c r="AG10" s="36">
        <v>48</v>
      </c>
      <c r="AH10" s="36">
        <v>54</v>
      </c>
      <c r="AI10" s="35">
        <f t="shared" si="3"/>
        <v>206</v>
      </c>
      <c r="AK10" s="36">
        <v>178</v>
      </c>
      <c r="AL10" s="36" t="s">
        <v>434</v>
      </c>
      <c r="AM10" s="36">
        <v>6</v>
      </c>
      <c r="AN10" s="36">
        <v>24</v>
      </c>
      <c r="AO10" s="36">
        <v>67</v>
      </c>
      <c r="AP10" s="36">
        <v>86</v>
      </c>
      <c r="AQ10" s="36">
        <v>31</v>
      </c>
      <c r="AR10" s="35">
        <f t="shared" si="4"/>
        <v>214</v>
      </c>
      <c r="AT10" s="36">
        <v>231</v>
      </c>
      <c r="AU10" s="36" t="s">
        <v>435</v>
      </c>
      <c r="AV10" s="36">
        <v>51</v>
      </c>
      <c r="AW10" s="36">
        <v>33</v>
      </c>
      <c r="AX10" s="36">
        <v>73</v>
      </c>
      <c r="AY10" s="36">
        <v>42</v>
      </c>
      <c r="AZ10" s="36">
        <v>90</v>
      </c>
      <c r="BA10" s="35">
        <f t="shared" si="5"/>
        <v>289</v>
      </c>
      <c r="BC10" s="36">
        <v>283</v>
      </c>
      <c r="BD10" s="36" t="s">
        <v>436</v>
      </c>
      <c r="BE10" s="36">
        <v>18</v>
      </c>
      <c r="BF10" s="36">
        <v>58</v>
      </c>
      <c r="BG10" s="36">
        <v>78</v>
      </c>
      <c r="BH10" s="36">
        <v>70</v>
      </c>
      <c r="BI10" s="36">
        <v>66</v>
      </c>
      <c r="BJ10" s="35">
        <f t="shared" si="6"/>
        <v>290</v>
      </c>
      <c r="BL10" s="36">
        <v>335</v>
      </c>
      <c r="BM10" s="36" t="s">
        <v>432</v>
      </c>
      <c r="BN10" s="36">
        <v>15</v>
      </c>
      <c r="BO10" s="36">
        <v>77</v>
      </c>
      <c r="BP10" s="36">
        <v>12</v>
      </c>
      <c r="BQ10" s="36">
        <v>87</v>
      </c>
      <c r="BR10" s="36">
        <v>62</v>
      </c>
      <c r="BS10" s="35">
        <f t="shared" si="7"/>
        <v>253</v>
      </c>
      <c r="BU10" s="36">
        <v>387</v>
      </c>
      <c r="BV10" s="36" t="s">
        <v>437</v>
      </c>
      <c r="BW10" s="36">
        <v>10</v>
      </c>
      <c r="BX10" s="36">
        <v>4</v>
      </c>
      <c r="BY10" s="36">
        <v>85</v>
      </c>
      <c r="BZ10" s="36">
        <v>74</v>
      </c>
      <c r="CA10" s="36">
        <v>11</v>
      </c>
      <c r="CB10" s="35">
        <f t="shared" si="8"/>
        <v>184</v>
      </c>
      <c r="CD10" s="36">
        <v>439</v>
      </c>
      <c r="CE10" s="36" t="s">
        <v>433</v>
      </c>
      <c r="CF10" s="36">
        <v>2</v>
      </c>
      <c r="CG10" s="36">
        <v>90</v>
      </c>
      <c r="CH10" s="36">
        <v>15</v>
      </c>
      <c r="CI10" s="36">
        <v>3</v>
      </c>
      <c r="CJ10" s="36">
        <v>67</v>
      </c>
      <c r="CK10" s="35">
        <f t="shared" si="9"/>
        <v>177</v>
      </c>
      <c r="CM10" s="36">
        <v>491</v>
      </c>
      <c r="CN10" s="36" t="s">
        <v>434</v>
      </c>
      <c r="CO10" s="36">
        <v>53</v>
      </c>
      <c r="CP10" s="36">
        <v>56</v>
      </c>
      <c r="CQ10" s="36">
        <v>49</v>
      </c>
      <c r="CR10" s="36">
        <v>42</v>
      </c>
      <c r="CS10" s="36">
        <v>11</v>
      </c>
      <c r="CT10" s="35">
        <f t="shared" si="10"/>
        <v>211</v>
      </c>
      <c r="CV10" s="36">
        <v>544</v>
      </c>
      <c r="CW10" s="36" t="s">
        <v>436</v>
      </c>
      <c r="CX10" s="36">
        <v>8</v>
      </c>
      <c r="CY10" s="36">
        <v>10</v>
      </c>
      <c r="CZ10" s="36">
        <v>23</v>
      </c>
      <c r="DA10" s="36">
        <v>3</v>
      </c>
      <c r="DB10" s="36">
        <v>89</v>
      </c>
      <c r="DC10" s="35">
        <f t="shared" si="11"/>
        <v>133</v>
      </c>
      <c r="DE10" s="36">
        <v>596</v>
      </c>
      <c r="DF10" s="36" t="s">
        <v>431</v>
      </c>
      <c r="DG10" s="36">
        <v>7</v>
      </c>
      <c r="DH10" s="36">
        <v>81</v>
      </c>
      <c r="DI10" s="36">
        <v>76</v>
      </c>
      <c r="DJ10" s="36">
        <v>12</v>
      </c>
      <c r="DK10" s="36">
        <v>47</v>
      </c>
      <c r="DL10" s="35">
        <f t="shared" si="12"/>
        <v>223</v>
      </c>
    </row>
    <row r="11" spans="1:116" ht="18" x14ac:dyDescent="0.2">
      <c r="A11" s="34">
        <v>9</v>
      </c>
      <c r="B11" s="34" t="s">
        <v>438</v>
      </c>
      <c r="C11" s="34">
        <v>80</v>
      </c>
      <c r="D11" s="34">
        <v>40</v>
      </c>
      <c r="E11" s="34">
        <v>76</v>
      </c>
      <c r="F11" s="34">
        <v>66</v>
      </c>
      <c r="G11" s="34">
        <v>8</v>
      </c>
      <c r="H11" s="35">
        <f t="shared" si="0"/>
        <v>270</v>
      </c>
      <c r="J11" s="34">
        <v>23</v>
      </c>
      <c r="K11" s="34" t="s">
        <v>439</v>
      </c>
      <c r="L11" s="34">
        <v>75</v>
      </c>
      <c r="M11" s="34">
        <v>52</v>
      </c>
      <c r="N11" s="34">
        <v>27</v>
      </c>
      <c r="O11" s="34">
        <v>1</v>
      </c>
      <c r="P11" s="34">
        <v>12</v>
      </c>
      <c r="Q11" s="35">
        <f t="shared" si="1"/>
        <v>167</v>
      </c>
      <c r="S11" s="34">
        <v>75</v>
      </c>
      <c r="T11" s="34" t="s">
        <v>440</v>
      </c>
      <c r="U11" s="34">
        <v>71</v>
      </c>
      <c r="V11" s="34">
        <v>1</v>
      </c>
      <c r="W11" s="34">
        <v>73</v>
      </c>
      <c r="X11" s="34">
        <v>4</v>
      </c>
      <c r="Y11" s="34">
        <v>68</v>
      </c>
      <c r="Z11" s="35">
        <f t="shared" si="2"/>
        <v>217</v>
      </c>
      <c r="AB11" s="34">
        <v>127</v>
      </c>
      <c r="AC11" s="34" t="s">
        <v>441</v>
      </c>
      <c r="AD11" s="34">
        <v>77</v>
      </c>
      <c r="AE11" s="34">
        <v>53</v>
      </c>
      <c r="AF11" s="34">
        <v>32</v>
      </c>
      <c r="AG11" s="34">
        <v>13</v>
      </c>
      <c r="AH11" s="34">
        <v>80</v>
      </c>
      <c r="AI11" s="35">
        <f t="shared" si="3"/>
        <v>255</v>
      </c>
      <c r="AK11" s="34">
        <v>179</v>
      </c>
      <c r="AL11" s="34" t="s">
        <v>442</v>
      </c>
      <c r="AM11" s="34">
        <v>57</v>
      </c>
      <c r="AN11" s="34">
        <v>28</v>
      </c>
      <c r="AO11" s="34">
        <v>26</v>
      </c>
      <c r="AP11" s="34">
        <v>22</v>
      </c>
      <c r="AQ11" s="34">
        <v>82</v>
      </c>
      <c r="AR11" s="35">
        <f t="shared" si="4"/>
        <v>215</v>
      </c>
      <c r="AT11" s="34">
        <v>232</v>
      </c>
      <c r="AU11" s="34" t="s">
        <v>443</v>
      </c>
      <c r="AV11" s="34">
        <v>60</v>
      </c>
      <c r="AW11" s="34">
        <v>14</v>
      </c>
      <c r="AX11" s="34">
        <v>19</v>
      </c>
      <c r="AY11" s="34">
        <v>38</v>
      </c>
      <c r="AZ11" s="34">
        <v>79</v>
      </c>
      <c r="BA11" s="35">
        <f t="shared" si="5"/>
        <v>210</v>
      </c>
      <c r="BC11" s="34">
        <v>284</v>
      </c>
      <c r="BD11" s="34" t="s">
        <v>439</v>
      </c>
      <c r="BE11" s="34">
        <v>33</v>
      </c>
      <c r="BF11" s="34">
        <v>66</v>
      </c>
      <c r="BG11" s="34">
        <v>77</v>
      </c>
      <c r="BH11" s="34">
        <v>35</v>
      </c>
      <c r="BI11" s="34">
        <v>37</v>
      </c>
      <c r="BJ11" s="35">
        <f t="shared" si="6"/>
        <v>248</v>
      </c>
      <c r="BL11" s="34">
        <v>336</v>
      </c>
      <c r="BM11" s="34" t="s">
        <v>444</v>
      </c>
      <c r="BN11" s="34">
        <v>38</v>
      </c>
      <c r="BO11" s="34">
        <v>57</v>
      </c>
      <c r="BP11" s="34">
        <v>28</v>
      </c>
      <c r="BQ11" s="34">
        <v>70</v>
      </c>
      <c r="BR11" s="34">
        <v>90</v>
      </c>
      <c r="BS11" s="35">
        <f t="shared" si="7"/>
        <v>283</v>
      </c>
      <c r="BU11" s="34">
        <v>388</v>
      </c>
      <c r="BV11" s="34" t="s">
        <v>445</v>
      </c>
      <c r="BW11" s="34">
        <v>21</v>
      </c>
      <c r="BX11" s="34">
        <v>59</v>
      </c>
      <c r="BY11" s="34">
        <v>72</v>
      </c>
      <c r="BZ11" s="34">
        <v>53</v>
      </c>
      <c r="CA11" s="34">
        <v>76</v>
      </c>
      <c r="CB11" s="35">
        <f t="shared" si="8"/>
        <v>281</v>
      </c>
      <c r="CD11" s="34">
        <v>440</v>
      </c>
      <c r="CE11" s="34" t="s">
        <v>441</v>
      </c>
      <c r="CF11" s="34">
        <v>12</v>
      </c>
      <c r="CG11" s="34">
        <v>26</v>
      </c>
      <c r="CH11" s="34">
        <v>73</v>
      </c>
      <c r="CI11" s="34">
        <v>8</v>
      </c>
      <c r="CJ11" s="34">
        <v>40</v>
      </c>
      <c r="CK11" s="35">
        <f t="shared" si="9"/>
        <v>159</v>
      </c>
      <c r="CM11" s="34">
        <v>492</v>
      </c>
      <c r="CN11" s="34" t="s">
        <v>442</v>
      </c>
      <c r="CO11" s="34">
        <v>17</v>
      </c>
      <c r="CP11" s="34">
        <v>6</v>
      </c>
      <c r="CQ11" s="34">
        <v>72</v>
      </c>
      <c r="CR11" s="34">
        <v>52</v>
      </c>
      <c r="CS11" s="34">
        <v>1</v>
      </c>
      <c r="CT11" s="35">
        <f t="shared" si="10"/>
        <v>148</v>
      </c>
      <c r="CV11" s="34">
        <v>545</v>
      </c>
      <c r="CW11" s="34" t="s">
        <v>446</v>
      </c>
      <c r="CX11" s="34">
        <v>44</v>
      </c>
      <c r="CY11" s="34">
        <v>43</v>
      </c>
      <c r="CZ11" s="34">
        <v>90</v>
      </c>
      <c r="DA11" s="34">
        <v>11</v>
      </c>
      <c r="DB11" s="34">
        <v>18</v>
      </c>
      <c r="DC11" s="35">
        <f t="shared" si="11"/>
        <v>206</v>
      </c>
      <c r="DE11" s="34">
        <v>597</v>
      </c>
      <c r="DF11" s="34" t="s">
        <v>439</v>
      </c>
      <c r="DG11" s="34">
        <v>81</v>
      </c>
      <c r="DH11" s="34">
        <v>44</v>
      </c>
      <c r="DI11" s="34">
        <v>12</v>
      </c>
      <c r="DJ11" s="34">
        <v>42</v>
      </c>
      <c r="DK11" s="34">
        <v>25</v>
      </c>
      <c r="DL11" s="35">
        <f t="shared" si="12"/>
        <v>204</v>
      </c>
    </row>
    <row r="12" spans="1:116" ht="18" x14ac:dyDescent="0.2">
      <c r="A12" s="36">
        <v>10</v>
      </c>
      <c r="B12" s="36" t="s">
        <v>447</v>
      </c>
      <c r="C12" s="36">
        <v>43</v>
      </c>
      <c r="D12" s="36">
        <v>90</v>
      </c>
      <c r="E12" s="36">
        <v>51</v>
      </c>
      <c r="F12" s="36">
        <v>61</v>
      </c>
      <c r="G12" s="36">
        <v>8</v>
      </c>
      <c r="H12" s="35">
        <f t="shared" si="0"/>
        <v>253</v>
      </c>
      <c r="J12" s="36">
        <v>24</v>
      </c>
      <c r="K12" s="36" t="s">
        <v>448</v>
      </c>
      <c r="L12" s="36">
        <v>36</v>
      </c>
      <c r="M12" s="36">
        <v>51</v>
      </c>
      <c r="N12" s="36">
        <v>46</v>
      </c>
      <c r="O12" s="36">
        <v>23</v>
      </c>
      <c r="P12" s="36">
        <v>38</v>
      </c>
      <c r="Q12" s="35">
        <f t="shared" si="1"/>
        <v>194</v>
      </c>
      <c r="S12" s="36">
        <v>76</v>
      </c>
      <c r="T12" s="36" t="s">
        <v>449</v>
      </c>
      <c r="U12" s="36">
        <v>44</v>
      </c>
      <c r="V12" s="36">
        <v>54</v>
      </c>
      <c r="W12" s="36">
        <v>28</v>
      </c>
      <c r="X12" s="36">
        <v>50</v>
      </c>
      <c r="Y12" s="36">
        <v>2</v>
      </c>
      <c r="Z12" s="35">
        <f t="shared" si="2"/>
        <v>178</v>
      </c>
      <c r="AB12" s="36">
        <v>128</v>
      </c>
      <c r="AC12" s="36" t="s">
        <v>450</v>
      </c>
      <c r="AD12" s="36">
        <v>8</v>
      </c>
      <c r="AE12" s="36">
        <v>29</v>
      </c>
      <c r="AF12" s="36">
        <v>39</v>
      </c>
      <c r="AG12" s="36">
        <v>15</v>
      </c>
      <c r="AH12" s="36">
        <v>28</v>
      </c>
      <c r="AI12" s="35">
        <f t="shared" si="3"/>
        <v>119</v>
      </c>
      <c r="AK12" s="36">
        <v>180</v>
      </c>
      <c r="AL12" s="36" t="s">
        <v>451</v>
      </c>
      <c r="AM12" s="36">
        <v>45</v>
      </c>
      <c r="AN12" s="36">
        <v>55</v>
      </c>
      <c r="AO12" s="36">
        <v>43</v>
      </c>
      <c r="AP12" s="36">
        <v>19</v>
      </c>
      <c r="AQ12" s="36">
        <v>53</v>
      </c>
      <c r="AR12" s="35">
        <f t="shared" si="4"/>
        <v>215</v>
      </c>
      <c r="AT12" s="36">
        <v>233</v>
      </c>
      <c r="AU12" s="36" t="s">
        <v>452</v>
      </c>
      <c r="AV12" s="36">
        <v>58</v>
      </c>
      <c r="AW12" s="36">
        <v>2</v>
      </c>
      <c r="AX12" s="36">
        <v>60</v>
      </c>
      <c r="AY12" s="36">
        <v>42</v>
      </c>
      <c r="AZ12" s="36">
        <v>90</v>
      </c>
      <c r="BA12" s="35">
        <f t="shared" si="5"/>
        <v>252</v>
      </c>
      <c r="BC12" s="36">
        <v>285</v>
      </c>
      <c r="BD12" s="36" t="s">
        <v>448</v>
      </c>
      <c r="BE12" s="36">
        <v>80</v>
      </c>
      <c r="BF12" s="36">
        <v>40</v>
      </c>
      <c r="BG12" s="36">
        <v>51</v>
      </c>
      <c r="BH12" s="36">
        <v>16</v>
      </c>
      <c r="BI12" s="36">
        <v>70</v>
      </c>
      <c r="BJ12" s="35">
        <f t="shared" si="6"/>
        <v>257</v>
      </c>
      <c r="BL12" s="36">
        <v>337</v>
      </c>
      <c r="BM12" s="36" t="s">
        <v>453</v>
      </c>
      <c r="BN12" s="36">
        <v>77</v>
      </c>
      <c r="BO12" s="36">
        <v>38</v>
      </c>
      <c r="BP12" s="36">
        <v>89</v>
      </c>
      <c r="BQ12" s="36">
        <v>65</v>
      </c>
      <c r="BR12" s="36">
        <v>75</v>
      </c>
      <c r="BS12" s="35">
        <f t="shared" si="7"/>
        <v>344</v>
      </c>
      <c r="BU12" s="36">
        <v>389</v>
      </c>
      <c r="BV12" s="36" t="s">
        <v>449</v>
      </c>
      <c r="BW12" s="36">
        <v>73</v>
      </c>
      <c r="BX12" s="36">
        <v>41</v>
      </c>
      <c r="BY12" s="36">
        <v>28</v>
      </c>
      <c r="BZ12" s="36">
        <v>71</v>
      </c>
      <c r="CA12" s="36">
        <v>55</v>
      </c>
      <c r="CB12" s="35">
        <f t="shared" si="8"/>
        <v>268</v>
      </c>
      <c r="CD12" s="36">
        <v>441</v>
      </c>
      <c r="CE12" s="36" t="s">
        <v>450</v>
      </c>
      <c r="CF12" s="36">
        <v>65</v>
      </c>
      <c r="CG12" s="36">
        <v>60</v>
      </c>
      <c r="CH12" s="36">
        <v>56</v>
      </c>
      <c r="CI12" s="36">
        <v>78</v>
      </c>
      <c r="CJ12" s="36">
        <v>49</v>
      </c>
      <c r="CK12" s="35">
        <f t="shared" si="9"/>
        <v>308</v>
      </c>
      <c r="CM12" s="36">
        <v>493</v>
      </c>
      <c r="CN12" s="36" t="s">
        <v>443</v>
      </c>
      <c r="CO12" s="36">
        <v>21</v>
      </c>
      <c r="CP12" s="36">
        <v>87</v>
      </c>
      <c r="CQ12" s="36">
        <v>56</v>
      </c>
      <c r="CR12" s="36">
        <v>42</v>
      </c>
      <c r="CS12" s="36">
        <v>3</v>
      </c>
      <c r="CT12" s="35">
        <f t="shared" si="10"/>
        <v>209</v>
      </c>
      <c r="CV12" s="36">
        <v>546</v>
      </c>
      <c r="CW12" s="36" t="s">
        <v>452</v>
      </c>
      <c r="CX12" s="36">
        <v>5</v>
      </c>
      <c r="CY12" s="36">
        <v>11</v>
      </c>
      <c r="CZ12" s="36">
        <v>55</v>
      </c>
      <c r="DA12" s="36">
        <v>26</v>
      </c>
      <c r="DB12" s="36">
        <v>31</v>
      </c>
      <c r="DC12" s="35">
        <f t="shared" si="11"/>
        <v>128</v>
      </c>
      <c r="DE12" s="36">
        <v>598</v>
      </c>
      <c r="DF12" s="36" t="s">
        <v>448</v>
      </c>
      <c r="DG12" s="36">
        <v>35</v>
      </c>
      <c r="DH12" s="36">
        <v>46</v>
      </c>
      <c r="DI12" s="36">
        <v>28</v>
      </c>
      <c r="DJ12" s="36">
        <v>41</v>
      </c>
      <c r="DK12" s="36">
        <v>64</v>
      </c>
      <c r="DL12" s="35">
        <f t="shared" si="12"/>
        <v>214</v>
      </c>
    </row>
    <row r="13" spans="1:116" ht="18" x14ac:dyDescent="0.2">
      <c r="A13" s="34">
        <v>11</v>
      </c>
      <c r="B13" s="34" t="s">
        <v>454</v>
      </c>
      <c r="C13" s="34">
        <v>46</v>
      </c>
      <c r="D13" s="34">
        <v>53</v>
      </c>
      <c r="E13" s="34">
        <v>90</v>
      </c>
      <c r="F13" s="34">
        <v>12</v>
      </c>
      <c r="G13" s="34">
        <v>19</v>
      </c>
      <c r="H13" s="35">
        <f t="shared" si="0"/>
        <v>220</v>
      </c>
      <c r="J13" s="34">
        <v>25</v>
      </c>
      <c r="K13" s="34" t="s">
        <v>455</v>
      </c>
      <c r="L13" s="34">
        <v>70</v>
      </c>
      <c r="M13" s="34">
        <v>45</v>
      </c>
      <c r="N13" s="34">
        <v>48</v>
      </c>
      <c r="O13" s="34">
        <v>46</v>
      </c>
      <c r="P13" s="34">
        <v>63</v>
      </c>
      <c r="Q13" s="35">
        <f t="shared" si="1"/>
        <v>272</v>
      </c>
      <c r="S13" s="34">
        <v>77</v>
      </c>
      <c r="T13" s="34" t="s">
        <v>456</v>
      </c>
      <c r="U13" s="34">
        <v>74</v>
      </c>
      <c r="V13" s="34">
        <v>45</v>
      </c>
      <c r="W13" s="34">
        <v>43</v>
      </c>
      <c r="X13" s="34">
        <v>61</v>
      </c>
      <c r="Y13" s="34">
        <v>22</v>
      </c>
      <c r="Z13" s="35">
        <f t="shared" si="2"/>
        <v>245</v>
      </c>
      <c r="AB13" s="34">
        <v>129</v>
      </c>
      <c r="AC13" s="34" t="s">
        <v>457</v>
      </c>
      <c r="AD13" s="34">
        <v>81</v>
      </c>
      <c r="AE13" s="34">
        <v>28</v>
      </c>
      <c r="AF13" s="34">
        <v>62</v>
      </c>
      <c r="AG13" s="34">
        <v>87</v>
      </c>
      <c r="AH13" s="34">
        <v>78</v>
      </c>
      <c r="AI13" s="35">
        <f t="shared" si="3"/>
        <v>336</v>
      </c>
      <c r="AK13" s="34">
        <v>181</v>
      </c>
      <c r="AL13" s="34" t="s">
        <v>458</v>
      </c>
      <c r="AM13" s="34">
        <v>57</v>
      </c>
      <c r="AN13" s="34">
        <v>32</v>
      </c>
      <c r="AO13" s="34">
        <v>67</v>
      </c>
      <c r="AP13" s="34">
        <v>90</v>
      </c>
      <c r="AQ13" s="34">
        <v>2</v>
      </c>
      <c r="AR13" s="35">
        <f t="shared" si="4"/>
        <v>248</v>
      </c>
      <c r="AT13" s="34">
        <v>234</v>
      </c>
      <c r="AU13" s="34" t="s">
        <v>459</v>
      </c>
      <c r="AV13" s="34">
        <v>25</v>
      </c>
      <c r="AW13" s="34">
        <v>69</v>
      </c>
      <c r="AX13" s="34">
        <v>82</v>
      </c>
      <c r="AY13" s="34">
        <v>39</v>
      </c>
      <c r="AZ13" s="34">
        <v>37</v>
      </c>
      <c r="BA13" s="35">
        <f t="shared" si="5"/>
        <v>252</v>
      </c>
      <c r="BC13" s="34">
        <v>286</v>
      </c>
      <c r="BD13" s="34" t="s">
        <v>455</v>
      </c>
      <c r="BE13" s="34">
        <v>83</v>
      </c>
      <c r="BF13" s="34">
        <v>67</v>
      </c>
      <c r="BG13" s="34">
        <v>25</v>
      </c>
      <c r="BH13" s="34">
        <v>21</v>
      </c>
      <c r="BI13" s="34">
        <v>33</v>
      </c>
      <c r="BJ13" s="35">
        <f t="shared" si="6"/>
        <v>229</v>
      </c>
      <c r="BL13" s="34">
        <v>338</v>
      </c>
      <c r="BM13" s="34" t="s">
        <v>460</v>
      </c>
      <c r="BN13" s="34">
        <v>59</v>
      </c>
      <c r="BO13" s="34">
        <v>26</v>
      </c>
      <c r="BP13" s="34">
        <v>9</v>
      </c>
      <c r="BQ13" s="34">
        <v>17</v>
      </c>
      <c r="BR13" s="34">
        <v>72</v>
      </c>
      <c r="BS13" s="35">
        <f t="shared" si="7"/>
        <v>183</v>
      </c>
      <c r="BU13" s="34">
        <v>390</v>
      </c>
      <c r="BV13" s="34" t="s">
        <v>456</v>
      </c>
      <c r="BW13" s="34">
        <v>19</v>
      </c>
      <c r="BX13" s="34">
        <v>59</v>
      </c>
      <c r="BY13" s="34">
        <v>25</v>
      </c>
      <c r="BZ13" s="34">
        <v>12</v>
      </c>
      <c r="CA13" s="34">
        <v>88</v>
      </c>
      <c r="CB13" s="35">
        <f t="shared" si="8"/>
        <v>203</v>
      </c>
      <c r="CD13" s="34">
        <v>442</v>
      </c>
      <c r="CE13" s="34" t="s">
        <v>457</v>
      </c>
      <c r="CF13" s="34">
        <v>86</v>
      </c>
      <c r="CG13" s="34">
        <v>54</v>
      </c>
      <c r="CH13" s="34">
        <v>81</v>
      </c>
      <c r="CI13" s="34">
        <v>73</v>
      </c>
      <c r="CJ13" s="34">
        <v>72</v>
      </c>
      <c r="CK13" s="35">
        <f t="shared" si="9"/>
        <v>366</v>
      </c>
      <c r="CM13" s="34">
        <v>494</v>
      </c>
      <c r="CN13" s="34" t="s">
        <v>452</v>
      </c>
      <c r="CO13" s="34">
        <v>41</v>
      </c>
      <c r="CP13" s="34">
        <v>7</v>
      </c>
      <c r="CQ13" s="34">
        <v>29</v>
      </c>
      <c r="CR13" s="34">
        <v>43</v>
      </c>
      <c r="CS13" s="34">
        <v>85</v>
      </c>
      <c r="CT13" s="35">
        <f t="shared" si="10"/>
        <v>205</v>
      </c>
      <c r="CV13" s="34">
        <v>547</v>
      </c>
      <c r="CW13" s="34" t="s">
        <v>459</v>
      </c>
      <c r="CX13" s="34">
        <v>25</v>
      </c>
      <c r="CY13" s="34">
        <v>45</v>
      </c>
      <c r="CZ13" s="34">
        <v>73</v>
      </c>
      <c r="DA13" s="34">
        <v>55</v>
      </c>
      <c r="DB13" s="34">
        <v>71</v>
      </c>
      <c r="DC13" s="35">
        <f t="shared" si="11"/>
        <v>269</v>
      </c>
      <c r="DE13" s="34">
        <v>599</v>
      </c>
      <c r="DF13" s="34" t="s">
        <v>455</v>
      </c>
      <c r="DG13" s="34">
        <v>32</v>
      </c>
      <c r="DH13" s="34">
        <v>54</v>
      </c>
      <c r="DI13" s="34">
        <v>19</v>
      </c>
      <c r="DJ13" s="34">
        <v>50</v>
      </c>
      <c r="DK13" s="34">
        <v>21</v>
      </c>
      <c r="DL13" s="35">
        <f t="shared" si="12"/>
        <v>176</v>
      </c>
    </row>
    <row r="14" spans="1:116" ht="18" x14ac:dyDescent="0.2">
      <c r="A14" s="36">
        <v>12</v>
      </c>
      <c r="B14" s="36" t="s">
        <v>461</v>
      </c>
      <c r="C14" s="36">
        <v>2</v>
      </c>
      <c r="D14" s="36">
        <v>44</v>
      </c>
      <c r="E14" s="36">
        <v>34</v>
      </c>
      <c r="F14" s="36">
        <v>9</v>
      </c>
      <c r="G14" s="36">
        <v>41</v>
      </c>
      <c r="H14" s="35">
        <f t="shared" si="0"/>
        <v>130</v>
      </c>
      <c r="J14" s="36">
        <v>26</v>
      </c>
      <c r="K14" s="36" t="s">
        <v>462</v>
      </c>
      <c r="L14" s="36">
        <v>27</v>
      </c>
      <c r="M14" s="36">
        <v>12</v>
      </c>
      <c r="N14" s="36">
        <v>29</v>
      </c>
      <c r="O14" s="36">
        <v>42</v>
      </c>
      <c r="P14" s="36">
        <v>17</v>
      </c>
      <c r="Q14" s="35">
        <f t="shared" si="1"/>
        <v>127</v>
      </c>
      <c r="S14" s="36">
        <v>78</v>
      </c>
      <c r="T14" s="36" t="s">
        <v>463</v>
      </c>
      <c r="U14" s="36">
        <v>82</v>
      </c>
      <c r="V14" s="36">
        <v>90</v>
      </c>
      <c r="W14" s="36">
        <v>32</v>
      </c>
      <c r="X14" s="36">
        <v>27</v>
      </c>
      <c r="Y14" s="36">
        <v>60</v>
      </c>
      <c r="Z14" s="35">
        <f t="shared" si="2"/>
        <v>291</v>
      </c>
      <c r="AB14" s="36">
        <v>130</v>
      </c>
      <c r="AC14" s="36" t="s">
        <v>464</v>
      </c>
      <c r="AD14" s="36">
        <v>66</v>
      </c>
      <c r="AE14" s="36">
        <v>3</v>
      </c>
      <c r="AF14" s="36">
        <v>83</v>
      </c>
      <c r="AG14" s="36">
        <v>75</v>
      </c>
      <c r="AH14" s="36">
        <v>71</v>
      </c>
      <c r="AI14" s="35">
        <f t="shared" si="3"/>
        <v>298</v>
      </c>
      <c r="AK14" s="36">
        <v>182</v>
      </c>
      <c r="AL14" s="36" t="s">
        <v>465</v>
      </c>
      <c r="AM14" s="36">
        <v>5</v>
      </c>
      <c r="AN14" s="36">
        <v>82</v>
      </c>
      <c r="AO14" s="36">
        <v>74</v>
      </c>
      <c r="AP14" s="36">
        <v>66</v>
      </c>
      <c r="AQ14" s="36">
        <v>88</v>
      </c>
      <c r="AR14" s="35">
        <f t="shared" si="4"/>
        <v>315</v>
      </c>
      <c r="AT14" s="36">
        <v>235</v>
      </c>
      <c r="AU14" s="36" t="s">
        <v>466</v>
      </c>
      <c r="AV14" s="36">
        <v>50</v>
      </c>
      <c r="AW14" s="36">
        <v>38</v>
      </c>
      <c r="AX14" s="36">
        <v>7</v>
      </c>
      <c r="AY14" s="36">
        <v>46</v>
      </c>
      <c r="AZ14" s="36">
        <v>4</v>
      </c>
      <c r="BA14" s="35">
        <f t="shared" si="5"/>
        <v>145</v>
      </c>
      <c r="BC14" s="36">
        <v>287</v>
      </c>
      <c r="BD14" s="36" t="s">
        <v>462</v>
      </c>
      <c r="BE14" s="36">
        <v>19</v>
      </c>
      <c r="BF14" s="36">
        <v>46</v>
      </c>
      <c r="BG14" s="36">
        <v>20</v>
      </c>
      <c r="BH14" s="36">
        <v>51</v>
      </c>
      <c r="BI14" s="36">
        <v>80</v>
      </c>
      <c r="BJ14" s="35">
        <f t="shared" si="6"/>
        <v>216</v>
      </c>
      <c r="BL14" s="36">
        <v>339</v>
      </c>
      <c r="BM14" s="36" t="s">
        <v>467</v>
      </c>
      <c r="BN14" s="36">
        <v>41</v>
      </c>
      <c r="BO14" s="36">
        <v>67</v>
      </c>
      <c r="BP14" s="36">
        <v>7</v>
      </c>
      <c r="BQ14" s="36">
        <v>22</v>
      </c>
      <c r="BR14" s="36">
        <v>18</v>
      </c>
      <c r="BS14" s="35">
        <f t="shared" si="7"/>
        <v>155</v>
      </c>
      <c r="BU14" s="36">
        <v>391</v>
      </c>
      <c r="BV14" s="36" t="s">
        <v>463</v>
      </c>
      <c r="BW14" s="36">
        <v>70</v>
      </c>
      <c r="BX14" s="36">
        <v>47</v>
      </c>
      <c r="BY14" s="36">
        <v>86</v>
      </c>
      <c r="BZ14" s="36">
        <v>6</v>
      </c>
      <c r="CA14" s="36">
        <v>82</v>
      </c>
      <c r="CB14" s="35">
        <f t="shared" si="8"/>
        <v>291</v>
      </c>
      <c r="CD14" s="36">
        <v>443</v>
      </c>
      <c r="CE14" s="36" t="s">
        <v>464</v>
      </c>
      <c r="CF14" s="36">
        <v>76</v>
      </c>
      <c r="CG14" s="36">
        <v>3</v>
      </c>
      <c r="CH14" s="36">
        <v>88</v>
      </c>
      <c r="CI14" s="36">
        <v>1</v>
      </c>
      <c r="CJ14" s="36">
        <v>4</v>
      </c>
      <c r="CK14" s="35">
        <f t="shared" si="9"/>
        <v>172</v>
      </c>
      <c r="CM14" s="36">
        <v>495</v>
      </c>
      <c r="CN14" s="36" t="s">
        <v>459</v>
      </c>
      <c r="CO14" s="36">
        <v>20</v>
      </c>
      <c r="CP14" s="36">
        <v>11</v>
      </c>
      <c r="CQ14" s="36">
        <v>41</v>
      </c>
      <c r="CR14" s="36">
        <v>64</v>
      </c>
      <c r="CS14" s="36">
        <v>2</v>
      </c>
      <c r="CT14" s="35">
        <f t="shared" si="10"/>
        <v>138</v>
      </c>
      <c r="CV14" s="36">
        <v>548</v>
      </c>
      <c r="CW14" s="36" t="s">
        <v>468</v>
      </c>
      <c r="CX14" s="36">
        <v>33</v>
      </c>
      <c r="CY14" s="36">
        <v>11</v>
      </c>
      <c r="CZ14" s="36">
        <v>27</v>
      </c>
      <c r="DA14" s="36">
        <v>86</v>
      </c>
      <c r="DB14" s="36">
        <v>79</v>
      </c>
      <c r="DC14" s="35">
        <f t="shared" si="11"/>
        <v>236</v>
      </c>
      <c r="DE14" s="36">
        <v>600</v>
      </c>
      <c r="DF14" s="36" t="s">
        <v>462</v>
      </c>
      <c r="DG14" s="36">
        <v>46</v>
      </c>
      <c r="DH14" s="36">
        <v>10</v>
      </c>
      <c r="DI14" s="36">
        <v>29</v>
      </c>
      <c r="DJ14" s="36">
        <v>55</v>
      </c>
      <c r="DK14" s="36">
        <v>77</v>
      </c>
      <c r="DL14" s="35">
        <f t="shared" si="12"/>
        <v>217</v>
      </c>
    </row>
    <row r="15" spans="1:116" ht="18" x14ac:dyDescent="0.2">
      <c r="A15" s="34">
        <v>13</v>
      </c>
      <c r="B15" s="34" t="s">
        <v>469</v>
      </c>
      <c r="C15" s="34">
        <v>36</v>
      </c>
      <c r="D15" s="34">
        <v>58</v>
      </c>
      <c r="E15" s="34">
        <v>5</v>
      </c>
      <c r="F15" s="34">
        <v>30</v>
      </c>
      <c r="G15" s="34">
        <v>10</v>
      </c>
      <c r="H15" s="35">
        <f t="shared" si="0"/>
        <v>139</v>
      </c>
      <c r="J15" s="34">
        <v>27</v>
      </c>
      <c r="K15" s="34" t="s">
        <v>470</v>
      </c>
      <c r="L15" s="34">
        <v>38</v>
      </c>
      <c r="M15" s="34">
        <v>50</v>
      </c>
      <c r="N15" s="34">
        <v>64</v>
      </c>
      <c r="O15" s="34">
        <v>59</v>
      </c>
      <c r="P15" s="34">
        <v>35</v>
      </c>
      <c r="Q15" s="35">
        <f t="shared" si="1"/>
        <v>246</v>
      </c>
      <c r="S15" s="34">
        <v>79</v>
      </c>
      <c r="T15" s="34" t="s">
        <v>471</v>
      </c>
      <c r="U15" s="34">
        <v>73</v>
      </c>
      <c r="V15" s="34">
        <v>56</v>
      </c>
      <c r="W15" s="34">
        <v>25</v>
      </c>
      <c r="X15" s="34">
        <v>1</v>
      </c>
      <c r="Y15" s="34">
        <v>75</v>
      </c>
      <c r="Z15" s="35">
        <f t="shared" si="2"/>
        <v>230</v>
      </c>
      <c r="AB15" s="34">
        <v>131</v>
      </c>
      <c r="AC15" s="34" t="s">
        <v>472</v>
      </c>
      <c r="AD15" s="34">
        <v>82</v>
      </c>
      <c r="AE15" s="34">
        <v>84</v>
      </c>
      <c r="AF15" s="34">
        <v>8</v>
      </c>
      <c r="AG15" s="34">
        <v>9</v>
      </c>
      <c r="AH15" s="34">
        <v>28</v>
      </c>
      <c r="AI15" s="35">
        <f t="shared" si="3"/>
        <v>211</v>
      </c>
      <c r="AK15" s="34">
        <v>183</v>
      </c>
      <c r="AL15" s="34" t="s">
        <v>473</v>
      </c>
      <c r="AM15" s="34">
        <v>61</v>
      </c>
      <c r="AN15" s="34">
        <v>11</v>
      </c>
      <c r="AO15" s="34">
        <v>77</v>
      </c>
      <c r="AP15" s="34">
        <v>23</v>
      </c>
      <c r="AQ15" s="34">
        <v>76</v>
      </c>
      <c r="AR15" s="35">
        <f t="shared" si="4"/>
        <v>248</v>
      </c>
      <c r="AT15" s="34">
        <v>236</v>
      </c>
      <c r="AU15" s="34" t="s">
        <v>474</v>
      </c>
      <c r="AV15" s="34">
        <v>17</v>
      </c>
      <c r="AW15" s="34">
        <v>11</v>
      </c>
      <c r="AX15" s="34">
        <v>44</v>
      </c>
      <c r="AY15" s="34">
        <v>45</v>
      </c>
      <c r="AZ15" s="34">
        <v>52</v>
      </c>
      <c r="BA15" s="35">
        <f t="shared" si="5"/>
        <v>169</v>
      </c>
      <c r="BC15" s="34">
        <v>288</v>
      </c>
      <c r="BD15" s="34" t="s">
        <v>470</v>
      </c>
      <c r="BE15" s="34">
        <v>32</v>
      </c>
      <c r="BF15" s="34">
        <v>25</v>
      </c>
      <c r="BG15" s="34">
        <v>70</v>
      </c>
      <c r="BH15" s="34">
        <v>87</v>
      </c>
      <c r="BI15" s="34">
        <v>64</v>
      </c>
      <c r="BJ15" s="35">
        <f t="shared" si="6"/>
        <v>278</v>
      </c>
      <c r="BL15" s="34">
        <v>340</v>
      </c>
      <c r="BM15" s="34" t="s">
        <v>475</v>
      </c>
      <c r="BN15" s="34">
        <v>27</v>
      </c>
      <c r="BO15" s="34">
        <v>35</v>
      </c>
      <c r="BP15" s="34">
        <v>66</v>
      </c>
      <c r="BQ15" s="34">
        <v>67</v>
      </c>
      <c r="BR15" s="34">
        <v>2</v>
      </c>
      <c r="BS15" s="35">
        <f t="shared" si="7"/>
        <v>197</v>
      </c>
      <c r="BU15" s="34">
        <v>392</v>
      </c>
      <c r="BV15" s="34" t="s">
        <v>471</v>
      </c>
      <c r="BW15" s="34">
        <v>33</v>
      </c>
      <c r="BX15" s="34">
        <v>49</v>
      </c>
      <c r="BY15" s="34">
        <v>59</v>
      </c>
      <c r="BZ15" s="34">
        <v>38</v>
      </c>
      <c r="CA15" s="34">
        <v>56</v>
      </c>
      <c r="CB15" s="35">
        <f t="shared" si="8"/>
        <v>235</v>
      </c>
      <c r="CD15" s="34">
        <v>444</v>
      </c>
      <c r="CE15" s="34" t="s">
        <v>472</v>
      </c>
      <c r="CF15" s="34">
        <v>41</v>
      </c>
      <c r="CG15" s="34">
        <v>58</v>
      </c>
      <c r="CH15" s="34">
        <v>74</v>
      </c>
      <c r="CI15" s="34">
        <v>2</v>
      </c>
      <c r="CJ15" s="34">
        <v>29</v>
      </c>
      <c r="CK15" s="35">
        <f t="shared" si="9"/>
        <v>204</v>
      </c>
      <c r="CM15" s="34">
        <v>496</v>
      </c>
      <c r="CN15" s="34" t="s">
        <v>466</v>
      </c>
      <c r="CO15" s="34">
        <v>55</v>
      </c>
      <c r="CP15" s="34">
        <v>13</v>
      </c>
      <c r="CQ15" s="34">
        <v>66</v>
      </c>
      <c r="CR15" s="34">
        <v>81</v>
      </c>
      <c r="CS15" s="34">
        <v>7</v>
      </c>
      <c r="CT15" s="35">
        <f t="shared" si="10"/>
        <v>222</v>
      </c>
      <c r="CV15" s="34">
        <v>549</v>
      </c>
      <c r="CW15" s="34" t="s">
        <v>476</v>
      </c>
      <c r="CX15" s="34">
        <v>59</v>
      </c>
      <c r="CY15" s="34">
        <v>90</v>
      </c>
      <c r="CZ15" s="34">
        <v>41</v>
      </c>
      <c r="DA15" s="34">
        <v>38</v>
      </c>
      <c r="DB15" s="34">
        <v>49</v>
      </c>
      <c r="DC15" s="35">
        <f t="shared" si="11"/>
        <v>277</v>
      </c>
      <c r="DE15" s="34">
        <v>601</v>
      </c>
      <c r="DF15" s="34" t="s">
        <v>470</v>
      </c>
      <c r="DG15" s="34">
        <v>6</v>
      </c>
      <c r="DH15" s="34">
        <v>59</v>
      </c>
      <c r="DI15" s="34">
        <v>35</v>
      </c>
      <c r="DJ15" s="34">
        <v>52</v>
      </c>
      <c r="DK15" s="34">
        <v>44</v>
      </c>
      <c r="DL15" s="35">
        <f t="shared" si="12"/>
        <v>196</v>
      </c>
    </row>
    <row r="16" spans="1:116" ht="18" x14ac:dyDescent="0.2">
      <c r="A16" s="36">
        <v>14</v>
      </c>
      <c r="B16" s="36" t="s">
        <v>477</v>
      </c>
      <c r="C16" s="36">
        <v>89</v>
      </c>
      <c r="D16" s="36">
        <v>18</v>
      </c>
      <c r="E16" s="36">
        <v>66</v>
      </c>
      <c r="F16" s="36">
        <v>44</v>
      </c>
      <c r="G16" s="36">
        <v>46</v>
      </c>
      <c r="H16" s="35">
        <f t="shared" si="0"/>
        <v>263</v>
      </c>
      <c r="J16" s="36">
        <v>28</v>
      </c>
      <c r="K16" s="36" t="s">
        <v>478</v>
      </c>
      <c r="L16" s="36">
        <v>44</v>
      </c>
      <c r="M16" s="36">
        <v>72</v>
      </c>
      <c r="N16" s="36">
        <v>76</v>
      </c>
      <c r="O16" s="36">
        <v>26</v>
      </c>
      <c r="P16" s="36">
        <v>2</v>
      </c>
      <c r="Q16" s="35">
        <f t="shared" si="1"/>
        <v>220</v>
      </c>
      <c r="S16" s="36">
        <v>80</v>
      </c>
      <c r="T16" s="36" t="s">
        <v>479</v>
      </c>
      <c r="U16" s="36">
        <v>26</v>
      </c>
      <c r="V16" s="36">
        <v>87</v>
      </c>
      <c r="W16" s="36">
        <v>55</v>
      </c>
      <c r="X16" s="36">
        <v>47</v>
      </c>
      <c r="Y16" s="36">
        <v>16</v>
      </c>
      <c r="Z16" s="35">
        <f t="shared" si="2"/>
        <v>231</v>
      </c>
      <c r="AB16" s="36">
        <v>132</v>
      </c>
      <c r="AC16" s="36" t="s">
        <v>480</v>
      </c>
      <c r="AD16" s="36">
        <v>84</v>
      </c>
      <c r="AE16" s="36">
        <v>87</v>
      </c>
      <c r="AF16" s="36">
        <v>77</v>
      </c>
      <c r="AG16" s="36">
        <v>44</v>
      </c>
      <c r="AH16" s="36">
        <v>53</v>
      </c>
      <c r="AI16" s="35">
        <f t="shared" si="3"/>
        <v>345</v>
      </c>
      <c r="AK16" s="36">
        <v>184</v>
      </c>
      <c r="AL16" s="36" t="s">
        <v>481</v>
      </c>
      <c r="AM16" s="36">
        <v>30</v>
      </c>
      <c r="AN16" s="36">
        <v>44</v>
      </c>
      <c r="AO16" s="36">
        <v>77</v>
      </c>
      <c r="AP16" s="36">
        <v>4</v>
      </c>
      <c r="AQ16" s="36">
        <v>24</v>
      </c>
      <c r="AR16" s="35">
        <f t="shared" si="4"/>
        <v>179</v>
      </c>
      <c r="AT16" s="36">
        <v>237</v>
      </c>
      <c r="AU16" s="36" t="s">
        <v>482</v>
      </c>
      <c r="AV16" s="36">
        <v>81</v>
      </c>
      <c r="AW16" s="36">
        <v>85</v>
      </c>
      <c r="AX16" s="36">
        <v>36</v>
      </c>
      <c r="AY16" s="36">
        <v>41</v>
      </c>
      <c r="AZ16" s="36">
        <v>90</v>
      </c>
      <c r="BA16" s="35">
        <f t="shared" si="5"/>
        <v>333</v>
      </c>
      <c r="BC16" s="36">
        <v>289</v>
      </c>
      <c r="BD16" s="36" t="s">
        <v>478</v>
      </c>
      <c r="BE16" s="36">
        <v>29</v>
      </c>
      <c r="BF16" s="36">
        <v>65</v>
      </c>
      <c r="BG16" s="36">
        <v>45</v>
      </c>
      <c r="BH16" s="36">
        <v>66</v>
      </c>
      <c r="BI16" s="36">
        <v>70</v>
      </c>
      <c r="BJ16" s="35">
        <f t="shared" si="6"/>
        <v>275</v>
      </c>
      <c r="BL16" s="36">
        <v>341</v>
      </c>
      <c r="BM16" s="36" t="s">
        <v>483</v>
      </c>
      <c r="BN16" s="36">
        <v>75</v>
      </c>
      <c r="BO16" s="36">
        <v>76</v>
      </c>
      <c r="BP16" s="36">
        <v>37</v>
      </c>
      <c r="BQ16" s="36">
        <v>56</v>
      </c>
      <c r="BR16" s="36">
        <v>80</v>
      </c>
      <c r="BS16" s="35">
        <f t="shared" si="7"/>
        <v>324</v>
      </c>
      <c r="BU16" s="36">
        <v>393</v>
      </c>
      <c r="BV16" s="36" t="s">
        <v>479</v>
      </c>
      <c r="BW16" s="36">
        <v>13</v>
      </c>
      <c r="BX16" s="36">
        <v>80</v>
      </c>
      <c r="BY16" s="36">
        <v>67</v>
      </c>
      <c r="BZ16" s="36">
        <v>68</v>
      </c>
      <c r="CA16" s="36">
        <v>20</v>
      </c>
      <c r="CB16" s="35">
        <f t="shared" si="8"/>
        <v>248</v>
      </c>
      <c r="CD16" s="36">
        <v>445</v>
      </c>
      <c r="CE16" s="36" t="s">
        <v>480</v>
      </c>
      <c r="CF16" s="36">
        <v>39</v>
      </c>
      <c r="CG16" s="36">
        <v>47</v>
      </c>
      <c r="CH16" s="36">
        <v>64</v>
      </c>
      <c r="CI16" s="36">
        <v>80</v>
      </c>
      <c r="CJ16" s="36">
        <v>23</v>
      </c>
      <c r="CK16" s="35">
        <f t="shared" si="9"/>
        <v>253</v>
      </c>
      <c r="CM16" s="36">
        <v>497</v>
      </c>
      <c r="CN16" s="36" t="s">
        <v>474</v>
      </c>
      <c r="CO16" s="36">
        <v>49</v>
      </c>
      <c r="CP16" s="36">
        <v>89</v>
      </c>
      <c r="CQ16" s="36">
        <v>67</v>
      </c>
      <c r="CR16" s="36">
        <v>22</v>
      </c>
      <c r="CS16" s="36">
        <v>31</v>
      </c>
      <c r="CT16" s="35">
        <f t="shared" si="10"/>
        <v>258</v>
      </c>
      <c r="CV16" s="36">
        <v>550</v>
      </c>
      <c r="CW16" s="36" t="s">
        <v>484</v>
      </c>
      <c r="CX16" s="36">
        <v>69</v>
      </c>
      <c r="CY16" s="36">
        <v>44</v>
      </c>
      <c r="CZ16" s="36">
        <v>3</v>
      </c>
      <c r="DA16" s="36">
        <v>9</v>
      </c>
      <c r="DB16" s="36">
        <v>87</v>
      </c>
      <c r="DC16" s="35">
        <f t="shared" si="11"/>
        <v>212</v>
      </c>
      <c r="DE16" s="36">
        <v>602</v>
      </c>
      <c r="DF16" s="36" t="s">
        <v>478</v>
      </c>
      <c r="DG16" s="36">
        <v>87</v>
      </c>
      <c r="DH16" s="36">
        <v>89</v>
      </c>
      <c r="DI16" s="36">
        <v>56</v>
      </c>
      <c r="DJ16" s="36">
        <v>3</v>
      </c>
      <c r="DK16" s="36">
        <v>1</v>
      </c>
      <c r="DL16" s="35">
        <f t="shared" si="12"/>
        <v>236</v>
      </c>
    </row>
    <row r="17" spans="10:116" ht="18" x14ac:dyDescent="0.2">
      <c r="J17" s="34">
        <v>29</v>
      </c>
      <c r="K17" s="34" t="s">
        <v>485</v>
      </c>
      <c r="L17" s="34">
        <v>39</v>
      </c>
      <c r="M17" s="34">
        <v>3</v>
      </c>
      <c r="N17" s="34">
        <v>5</v>
      </c>
      <c r="O17" s="34">
        <v>43</v>
      </c>
      <c r="P17" s="34">
        <v>4</v>
      </c>
      <c r="Q17" s="35">
        <f t="shared" si="1"/>
        <v>94</v>
      </c>
      <c r="S17" s="34">
        <v>81</v>
      </c>
      <c r="T17" s="34" t="s">
        <v>486</v>
      </c>
      <c r="U17" s="34">
        <v>50</v>
      </c>
      <c r="V17" s="34">
        <v>28</v>
      </c>
      <c r="W17" s="34">
        <v>61</v>
      </c>
      <c r="X17" s="34">
        <v>40</v>
      </c>
      <c r="Y17" s="34">
        <v>62</v>
      </c>
      <c r="Z17" s="35">
        <f t="shared" si="2"/>
        <v>241</v>
      </c>
      <c r="AB17" s="34">
        <v>133</v>
      </c>
      <c r="AC17" s="34" t="s">
        <v>487</v>
      </c>
      <c r="AD17" s="34">
        <v>9</v>
      </c>
      <c r="AE17" s="34">
        <v>83</v>
      </c>
      <c r="AF17" s="34">
        <v>23</v>
      </c>
      <c r="AG17" s="34">
        <v>38</v>
      </c>
      <c r="AH17" s="34">
        <v>78</v>
      </c>
      <c r="AI17" s="35">
        <f t="shared" si="3"/>
        <v>231</v>
      </c>
      <c r="AK17" s="34">
        <v>185</v>
      </c>
      <c r="AL17" s="34" t="s">
        <v>488</v>
      </c>
      <c r="AM17" s="34">
        <v>13</v>
      </c>
      <c r="AN17" s="34">
        <v>44</v>
      </c>
      <c r="AO17" s="34">
        <v>33</v>
      </c>
      <c r="AP17" s="34">
        <v>51</v>
      </c>
      <c r="AQ17" s="34">
        <v>62</v>
      </c>
      <c r="AR17" s="35">
        <f t="shared" si="4"/>
        <v>203</v>
      </c>
      <c r="AT17" s="34">
        <v>238</v>
      </c>
      <c r="AU17" s="34" t="s">
        <v>489</v>
      </c>
      <c r="AV17" s="34">
        <v>71</v>
      </c>
      <c r="AW17" s="34">
        <v>86</v>
      </c>
      <c r="AX17" s="34">
        <v>9</v>
      </c>
      <c r="AY17" s="34">
        <v>64</v>
      </c>
      <c r="AZ17" s="34">
        <v>14</v>
      </c>
      <c r="BA17" s="35">
        <f t="shared" si="5"/>
        <v>244</v>
      </c>
      <c r="BC17" s="34">
        <v>290</v>
      </c>
      <c r="BD17" s="34" t="s">
        <v>485</v>
      </c>
      <c r="BE17" s="34">
        <v>80</v>
      </c>
      <c r="BF17" s="34">
        <v>85</v>
      </c>
      <c r="BG17" s="34">
        <v>87</v>
      </c>
      <c r="BH17" s="34">
        <v>72</v>
      </c>
      <c r="BI17" s="34">
        <v>34</v>
      </c>
      <c r="BJ17" s="35">
        <f t="shared" si="6"/>
        <v>358</v>
      </c>
      <c r="BL17" s="34">
        <v>342</v>
      </c>
      <c r="BM17" s="34" t="s">
        <v>490</v>
      </c>
      <c r="BN17" s="34">
        <v>2</v>
      </c>
      <c r="BO17" s="34">
        <v>83</v>
      </c>
      <c r="BP17" s="34">
        <v>25</v>
      </c>
      <c r="BQ17" s="34">
        <v>11</v>
      </c>
      <c r="BR17" s="34">
        <v>19</v>
      </c>
      <c r="BS17" s="35">
        <f t="shared" si="7"/>
        <v>140</v>
      </c>
      <c r="BU17" s="34">
        <v>394</v>
      </c>
      <c r="BV17" s="34" t="s">
        <v>486</v>
      </c>
      <c r="BW17" s="34">
        <v>8</v>
      </c>
      <c r="BX17" s="34">
        <v>2</v>
      </c>
      <c r="BY17" s="34">
        <v>20</v>
      </c>
      <c r="BZ17" s="34">
        <v>13</v>
      </c>
      <c r="CA17" s="34">
        <v>85</v>
      </c>
      <c r="CB17" s="35">
        <f t="shared" si="8"/>
        <v>128</v>
      </c>
      <c r="CD17" s="34">
        <v>446</v>
      </c>
      <c r="CE17" s="34" t="s">
        <v>487</v>
      </c>
      <c r="CF17" s="34">
        <v>64</v>
      </c>
      <c r="CG17" s="34">
        <v>73</v>
      </c>
      <c r="CH17" s="34">
        <v>16</v>
      </c>
      <c r="CI17" s="34">
        <v>49</v>
      </c>
      <c r="CJ17" s="34">
        <v>27</v>
      </c>
      <c r="CK17" s="35">
        <f t="shared" si="9"/>
        <v>229</v>
      </c>
      <c r="CM17" s="34">
        <v>498</v>
      </c>
      <c r="CN17" s="34" t="s">
        <v>482</v>
      </c>
      <c r="CO17" s="34">
        <v>50</v>
      </c>
      <c r="CP17" s="34">
        <v>65</v>
      </c>
      <c r="CQ17" s="34">
        <v>17</v>
      </c>
      <c r="CR17" s="34">
        <v>22</v>
      </c>
      <c r="CS17" s="34">
        <v>34</v>
      </c>
      <c r="CT17" s="35">
        <f t="shared" si="10"/>
        <v>188</v>
      </c>
      <c r="CV17" s="34">
        <v>551</v>
      </c>
      <c r="CW17" s="34" t="s">
        <v>491</v>
      </c>
      <c r="CX17" s="34">
        <v>79</v>
      </c>
      <c r="CY17" s="34">
        <v>81</v>
      </c>
      <c r="CZ17" s="34">
        <v>72</v>
      </c>
      <c r="DA17" s="34">
        <v>82</v>
      </c>
      <c r="DB17" s="34">
        <v>33</v>
      </c>
      <c r="DC17" s="35">
        <f t="shared" si="11"/>
        <v>347</v>
      </c>
      <c r="DE17" s="34">
        <v>603</v>
      </c>
      <c r="DF17" s="34" t="s">
        <v>485</v>
      </c>
      <c r="DG17" s="34">
        <v>67</v>
      </c>
      <c r="DH17" s="34">
        <v>4</v>
      </c>
      <c r="DI17" s="34">
        <v>58</v>
      </c>
      <c r="DJ17" s="34">
        <v>84</v>
      </c>
      <c r="DK17" s="34">
        <v>78</v>
      </c>
      <c r="DL17" s="35">
        <f t="shared" si="12"/>
        <v>291</v>
      </c>
    </row>
    <row r="18" spans="10:116" ht="18" x14ac:dyDescent="0.2">
      <c r="J18" s="36">
        <v>30</v>
      </c>
      <c r="K18" s="36" t="s">
        <v>492</v>
      </c>
      <c r="L18" s="36">
        <v>22</v>
      </c>
      <c r="M18" s="36">
        <v>62</v>
      </c>
      <c r="N18" s="36">
        <v>72</v>
      </c>
      <c r="O18" s="36">
        <v>87</v>
      </c>
      <c r="P18" s="36">
        <v>7</v>
      </c>
      <c r="Q18" s="35">
        <f t="shared" si="1"/>
        <v>250</v>
      </c>
      <c r="S18" s="36">
        <v>82</v>
      </c>
      <c r="T18" s="36" t="s">
        <v>493</v>
      </c>
      <c r="U18" s="36">
        <v>63</v>
      </c>
      <c r="V18" s="36">
        <v>29</v>
      </c>
      <c r="W18" s="36">
        <v>28</v>
      </c>
      <c r="X18" s="36">
        <v>38</v>
      </c>
      <c r="Y18" s="36">
        <v>83</v>
      </c>
      <c r="Z18" s="35">
        <f t="shared" si="2"/>
        <v>241</v>
      </c>
      <c r="AB18" s="36">
        <v>134</v>
      </c>
      <c r="AC18" s="36" t="s">
        <v>494</v>
      </c>
      <c r="AD18" s="36">
        <v>36</v>
      </c>
      <c r="AE18" s="36">
        <v>23</v>
      </c>
      <c r="AF18" s="36">
        <v>66</v>
      </c>
      <c r="AG18" s="36">
        <v>14</v>
      </c>
      <c r="AH18" s="36">
        <v>19</v>
      </c>
      <c r="AI18" s="35">
        <f t="shared" si="3"/>
        <v>158</v>
      </c>
      <c r="AK18" s="36">
        <v>186</v>
      </c>
      <c r="AL18" s="36" t="s">
        <v>495</v>
      </c>
      <c r="AM18" s="36">
        <v>31</v>
      </c>
      <c r="AN18" s="36">
        <v>8</v>
      </c>
      <c r="AO18" s="36">
        <v>90</v>
      </c>
      <c r="AP18" s="36">
        <v>48</v>
      </c>
      <c r="AQ18" s="36">
        <v>29</v>
      </c>
      <c r="AR18" s="35">
        <f t="shared" si="4"/>
        <v>206</v>
      </c>
      <c r="AT18" s="36">
        <v>239</v>
      </c>
      <c r="AU18" s="36" t="s">
        <v>496</v>
      </c>
      <c r="AV18" s="36">
        <v>25</v>
      </c>
      <c r="AW18" s="36">
        <v>45</v>
      </c>
      <c r="AX18" s="36">
        <v>40</v>
      </c>
      <c r="AY18" s="36">
        <v>28</v>
      </c>
      <c r="AZ18" s="36">
        <v>37</v>
      </c>
      <c r="BA18" s="35">
        <f t="shared" si="5"/>
        <v>175</v>
      </c>
      <c r="BC18" s="36">
        <v>291</v>
      </c>
      <c r="BD18" s="36" t="s">
        <v>492</v>
      </c>
      <c r="BE18" s="36">
        <v>43</v>
      </c>
      <c r="BF18" s="36">
        <v>1</v>
      </c>
      <c r="BG18" s="36">
        <v>86</v>
      </c>
      <c r="BH18" s="36">
        <v>7</v>
      </c>
      <c r="BI18" s="36">
        <v>71</v>
      </c>
      <c r="BJ18" s="35">
        <f t="shared" si="6"/>
        <v>208</v>
      </c>
      <c r="BL18" s="36">
        <v>343</v>
      </c>
      <c r="BM18" s="36" t="s">
        <v>497</v>
      </c>
      <c r="BN18" s="36">
        <v>84</v>
      </c>
      <c r="BO18" s="36">
        <v>54</v>
      </c>
      <c r="BP18" s="36">
        <v>41</v>
      </c>
      <c r="BQ18" s="36">
        <v>61</v>
      </c>
      <c r="BR18" s="36">
        <v>37</v>
      </c>
      <c r="BS18" s="35">
        <f t="shared" si="7"/>
        <v>277</v>
      </c>
      <c r="BU18" s="36">
        <v>395</v>
      </c>
      <c r="BV18" s="36" t="s">
        <v>493</v>
      </c>
      <c r="BW18" s="36">
        <v>70</v>
      </c>
      <c r="BX18" s="36">
        <v>88</v>
      </c>
      <c r="BY18" s="36">
        <v>72</v>
      </c>
      <c r="BZ18" s="36">
        <v>19</v>
      </c>
      <c r="CA18" s="36">
        <v>29</v>
      </c>
      <c r="CB18" s="35">
        <f t="shared" si="8"/>
        <v>278</v>
      </c>
      <c r="CD18" s="36">
        <v>447</v>
      </c>
      <c r="CE18" s="36" t="s">
        <v>494</v>
      </c>
      <c r="CF18" s="36">
        <v>34</v>
      </c>
      <c r="CG18" s="36">
        <v>37</v>
      </c>
      <c r="CH18" s="36">
        <v>69</v>
      </c>
      <c r="CI18" s="36">
        <v>51</v>
      </c>
      <c r="CJ18" s="36">
        <v>36</v>
      </c>
      <c r="CK18" s="35">
        <f t="shared" si="9"/>
        <v>227</v>
      </c>
      <c r="CM18" s="36">
        <v>499</v>
      </c>
      <c r="CN18" s="36" t="s">
        <v>489</v>
      </c>
      <c r="CO18" s="36">
        <v>1</v>
      </c>
      <c r="CP18" s="36">
        <v>38</v>
      </c>
      <c r="CQ18" s="36">
        <v>17</v>
      </c>
      <c r="CR18" s="36">
        <v>31</v>
      </c>
      <c r="CS18" s="36">
        <v>15</v>
      </c>
      <c r="CT18" s="35">
        <f t="shared" si="10"/>
        <v>102</v>
      </c>
      <c r="CV18" s="36">
        <v>552</v>
      </c>
      <c r="CW18" s="36" t="s">
        <v>498</v>
      </c>
      <c r="CX18" s="36">
        <v>70</v>
      </c>
      <c r="CY18" s="36">
        <v>67</v>
      </c>
      <c r="CZ18" s="36">
        <v>51</v>
      </c>
      <c r="DA18" s="36">
        <v>88</v>
      </c>
      <c r="DB18" s="36">
        <v>24</v>
      </c>
      <c r="DC18" s="35">
        <f t="shared" si="11"/>
        <v>300</v>
      </c>
      <c r="DE18" s="36">
        <v>604</v>
      </c>
      <c r="DF18" s="36" t="s">
        <v>492</v>
      </c>
      <c r="DG18" s="36">
        <v>56</v>
      </c>
      <c r="DH18" s="36">
        <v>60</v>
      </c>
      <c r="DI18" s="36">
        <v>71</v>
      </c>
      <c r="DJ18" s="36">
        <v>5</v>
      </c>
      <c r="DK18" s="36">
        <v>2</v>
      </c>
      <c r="DL18" s="35">
        <f t="shared" si="12"/>
        <v>194</v>
      </c>
    </row>
    <row r="19" spans="10:116" ht="18" x14ac:dyDescent="0.2">
      <c r="J19" s="34">
        <v>31</v>
      </c>
      <c r="K19" s="34" t="s">
        <v>499</v>
      </c>
      <c r="L19" s="34">
        <v>71</v>
      </c>
      <c r="M19" s="34">
        <v>5</v>
      </c>
      <c r="N19" s="34">
        <v>11</v>
      </c>
      <c r="O19" s="34">
        <v>62</v>
      </c>
      <c r="P19" s="34">
        <v>53</v>
      </c>
      <c r="Q19" s="35">
        <f t="shared" si="1"/>
        <v>202</v>
      </c>
      <c r="S19" s="34">
        <v>83</v>
      </c>
      <c r="T19" s="34" t="s">
        <v>500</v>
      </c>
      <c r="U19" s="34">
        <v>62</v>
      </c>
      <c r="V19" s="34">
        <v>34</v>
      </c>
      <c r="W19" s="34">
        <v>30</v>
      </c>
      <c r="X19" s="34">
        <v>46</v>
      </c>
      <c r="Y19" s="34">
        <v>27</v>
      </c>
      <c r="Z19" s="35">
        <f t="shared" si="2"/>
        <v>199</v>
      </c>
      <c r="AB19" s="34">
        <v>135</v>
      </c>
      <c r="AC19" s="34" t="s">
        <v>501</v>
      </c>
      <c r="AD19" s="34">
        <v>8</v>
      </c>
      <c r="AE19" s="34">
        <v>3</v>
      </c>
      <c r="AF19" s="34">
        <v>27</v>
      </c>
      <c r="AG19" s="34">
        <v>12</v>
      </c>
      <c r="AH19" s="34">
        <v>9</v>
      </c>
      <c r="AI19" s="35">
        <f t="shared" si="3"/>
        <v>59</v>
      </c>
      <c r="AK19" s="34">
        <v>187</v>
      </c>
      <c r="AL19" s="34" t="s">
        <v>502</v>
      </c>
      <c r="AM19" s="34">
        <v>72</v>
      </c>
      <c r="AN19" s="34">
        <v>39</v>
      </c>
      <c r="AO19" s="34">
        <v>18</v>
      </c>
      <c r="AP19" s="34">
        <v>62</v>
      </c>
      <c r="AQ19" s="34">
        <v>87</v>
      </c>
      <c r="AR19" s="35">
        <f t="shared" si="4"/>
        <v>278</v>
      </c>
      <c r="AT19" s="34">
        <v>240</v>
      </c>
      <c r="AU19" s="34" t="s">
        <v>503</v>
      </c>
      <c r="AV19" s="34">
        <v>17</v>
      </c>
      <c r="AW19" s="34">
        <v>21</v>
      </c>
      <c r="AX19" s="34">
        <v>11</v>
      </c>
      <c r="AY19" s="34">
        <v>20</v>
      </c>
      <c r="AZ19" s="34">
        <v>13</v>
      </c>
      <c r="BA19" s="35">
        <f t="shared" si="5"/>
        <v>82</v>
      </c>
      <c r="BC19" s="34">
        <v>292</v>
      </c>
      <c r="BD19" s="34" t="s">
        <v>499</v>
      </c>
      <c r="BE19" s="34">
        <v>11</v>
      </c>
      <c r="BF19" s="34">
        <v>75</v>
      </c>
      <c r="BG19" s="34">
        <v>8</v>
      </c>
      <c r="BH19" s="34">
        <v>17</v>
      </c>
      <c r="BI19" s="34">
        <v>13</v>
      </c>
      <c r="BJ19" s="35">
        <f t="shared" si="6"/>
        <v>124</v>
      </c>
      <c r="BL19" s="34">
        <v>344</v>
      </c>
      <c r="BM19" s="34" t="s">
        <v>504</v>
      </c>
      <c r="BN19" s="34">
        <v>85</v>
      </c>
      <c r="BO19" s="34">
        <v>52</v>
      </c>
      <c r="BP19" s="34">
        <v>59</v>
      </c>
      <c r="BQ19" s="34">
        <v>5</v>
      </c>
      <c r="BR19" s="34">
        <v>35</v>
      </c>
      <c r="BS19" s="35">
        <f t="shared" si="7"/>
        <v>236</v>
      </c>
      <c r="BU19" s="34">
        <v>396</v>
      </c>
      <c r="BV19" s="34" t="s">
        <v>500</v>
      </c>
      <c r="BW19" s="34">
        <v>90</v>
      </c>
      <c r="BX19" s="34">
        <v>74</v>
      </c>
      <c r="BY19" s="34">
        <v>6</v>
      </c>
      <c r="BZ19" s="34">
        <v>28</v>
      </c>
      <c r="CA19" s="34">
        <v>69</v>
      </c>
      <c r="CB19" s="35">
        <f t="shared" si="8"/>
        <v>267</v>
      </c>
      <c r="CD19" s="34">
        <v>448</v>
      </c>
      <c r="CE19" s="34" t="s">
        <v>501</v>
      </c>
      <c r="CF19" s="34">
        <v>81</v>
      </c>
      <c r="CG19" s="34">
        <v>86</v>
      </c>
      <c r="CH19" s="34">
        <v>18</v>
      </c>
      <c r="CI19" s="34">
        <v>30</v>
      </c>
      <c r="CJ19" s="34">
        <v>11</v>
      </c>
      <c r="CK19" s="35">
        <f t="shared" si="9"/>
        <v>226</v>
      </c>
      <c r="CM19" s="34">
        <v>500</v>
      </c>
      <c r="CN19" s="34" t="s">
        <v>496</v>
      </c>
      <c r="CO19" s="34">
        <v>11</v>
      </c>
      <c r="CP19" s="34">
        <v>24</v>
      </c>
      <c r="CQ19" s="34">
        <v>83</v>
      </c>
      <c r="CR19" s="34">
        <v>31</v>
      </c>
      <c r="CS19" s="34">
        <v>48</v>
      </c>
      <c r="CT19" s="35">
        <f t="shared" si="10"/>
        <v>197</v>
      </c>
      <c r="CV19" s="34">
        <v>553</v>
      </c>
      <c r="CW19" s="34" t="s">
        <v>505</v>
      </c>
      <c r="CX19" s="34">
        <v>8</v>
      </c>
      <c r="CY19" s="34">
        <v>64</v>
      </c>
      <c r="CZ19" s="34">
        <v>77</v>
      </c>
      <c r="DA19" s="34">
        <v>53</v>
      </c>
      <c r="DB19" s="34">
        <v>88</v>
      </c>
      <c r="DC19" s="35">
        <f t="shared" si="11"/>
        <v>290</v>
      </c>
      <c r="DE19" s="34">
        <v>605</v>
      </c>
      <c r="DF19" s="34" t="s">
        <v>499</v>
      </c>
      <c r="DG19" s="34">
        <v>74</v>
      </c>
      <c r="DH19" s="34">
        <v>46</v>
      </c>
      <c r="DI19" s="34">
        <v>71</v>
      </c>
      <c r="DJ19" s="34">
        <v>79</v>
      </c>
      <c r="DK19" s="34">
        <v>89</v>
      </c>
      <c r="DL19" s="35">
        <f t="shared" si="12"/>
        <v>359</v>
      </c>
    </row>
    <row r="20" spans="10:116" ht="18" x14ac:dyDescent="0.2">
      <c r="J20" s="36">
        <v>32</v>
      </c>
      <c r="K20" s="36" t="s">
        <v>506</v>
      </c>
      <c r="L20" s="36">
        <v>27</v>
      </c>
      <c r="M20" s="36">
        <v>64</v>
      </c>
      <c r="N20" s="36">
        <v>3</v>
      </c>
      <c r="O20" s="36">
        <v>62</v>
      </c>
      <c r="P20" s="36">
        <v>50</v>
      </c>
      <c r="Q20" s="35">
        <f t="shared" si="1"/>
        <v>206</v>
      </c>
      <c r="S20" s="36">
        <v>84</v>
      </c>
      <c r="T20" s="36" t="s">
        <v>507</v>
      </c>
      <c r="U20" s="36">
        <v>11</v>
      </c>
      <c r="V20" s="36">
        <v>88</v>
      </c>
      <c r="W20" s="36">
        <v>21</v>
      </c>
      <c r="X20" s="36">
        <v>46</v>
      </c>
      <c r="Y20" s="36">
        <v>73</v>
      </c>
      <c r="Z20" s="35">
        <f t="shared" si="2"/>
        <v>239</v>
      </c>
      <c r="AB20" s="36">
        <v>136</v>
      </c>
      <c r="AC20" s="36" t="s">
        <v>508</v>
      </c>
      <c r="AD20" s="36">
        <v>44</v>
      </c>
      <c r="AE20" s="36">
        <v>71</v>
      </c>
      <c r="AF20" s="36">
        <v>39</v>
      </c>
      <c r="AG20" s="36">
        <v>26</v>
      </c>
      <c r="AH20" s="36">
        <v>79</v>
      </c>
      <c r="AI20" s="35">
        <f t="shared" si="3"/>
        <v>259</v>
      </c>
      <c r="AK20" s="36">
        <v>188</v>
      </c>
      <c r="AL20" s="36" t="s">
        <v>509</v>
      </c>
      <c r="AM20" s="36">
        <v>74</v>
      </c>
      <c r="AN20" s="36">
        <v>65</v>
      </c>
      <c r="AO20" s="36">
        <v>72</v>
      </c>
      <c r="AP20" s="36">
        <v>7</v>
      </c>
      <c r="AQ20" s="36">
        <v>42</v>
      </c>
      <c r="AR20" s="35">
        <f t="shared" si="4"/>
        <v>260</v>
      </c>
      <c r="AT20" s="36">
        <v>241</v>
      </c>
      <c r="AU20" s="36" t="s">
        <v>510</v>
      </c>
      <c r="AV20" s="36">
        <v>32</v>
      </c>
      <c r="AW20" s="36">
        <v>37</v>
      </c>
      <c r="AX20" s="36">
        <v>11</v>
      </c>
      <c r="AY20" s="36">
        <v>10</v>
      </c>
      <c r="AZ20" s="36">
        <v>65</v>
      </c>
      <c r="BA20" s="35">
        <f t="shared" si="5"/>
        <v>155</v>
      </c>
      <c r="BC20" s="36">
        <v>293</v>
      </c>
      <c r="BD20" s="36" t="s">
        <v>506</v>
      </c>
      <c r="BE20" s="36">
        <v>46</v>
      </c>
      <c r="BF20" s="36">
        <v>70</v>
      </c>
      <c r="BG20" s="36">
        <v>77</v>
      </c>
      <c r="BH20" s="36">
        <v>87</v>
      </c>
      <c r="BI20" s="36">
        <v>66</v>
      </c>
      <c r="BJ20" s="35">
        <f t="shared" si="6"/>
        <v>346</v>
      </c>
      <c r="BL20" s="36">
        <v>345</v>
      </c>
      <c r="BM20" s="36" t="s">
        <v>511</v>
      </c>
      <c r="BN20" s="36">
        <v>85</v>
      </c>
      <c r="BO20" s="36">
        <v>83</v>
      </c>
      <c r="BP20" s="36">
        <v>6</v>
      </c>
      <c r="BQ20" s="36">
        <v>24</v>
      </c>
      <c r="BR20" s="36">
        <v>33</v>
      </c>
      <c r="BS20" s="35">
        <f t="shared" si="7"/>
        <v>231</v>
      </c>
      <c r="BU20" s="36">
        <v>397</v>
      </c>
      <c r="BV20" s="36" t="s">
        <v>507</v>
      </c>
      <c r="BW20" s="36">
        <v>26</v>
      </c>
      <c r="BX20" s="36">
        <v>16</v>
      </c>
      <c r="BY20" s="36">
        <v>55</v>
      </c>
      <c r="BZ20" s="36">
        <v>30</v>
      </c>
      <c r="CA20" s="36">
        <v>77</v>
      </c>
      <c r="CB20" s="35">
        <f t="shared" si="8"/>
        <v>204</v>
      </c>
      <c r="CD20" s="36">
        <v>449</v>
      </c>
      <c r="CE20" s="36" t="s">
        <v>508</v>
      </c>
      <c r="CF20" s="36">
        <v>39</v>
      </c>
      <c r="CG20" s="36">
        <v>10</v>
      </c>
      <c r="CH20" s="36">
        <v>28</v>
      </c>
      <c r="CI20" s="36">
        <v>77</v>
      </c>
      <c r="CJ20" s="36">
        <v>9</v>
      </c>
      <c r="CK20" s="35">
        <f t="shared" si="9"/>
        <v>163</v>
      </c>
      <c r="CM20" s="36">
        <v>501</v>
      </c>
      <c r="CN20" s="36" t="s">
        <v>503</v>
      </c>
      <c r="CO20" s="36">
        <v>9</v>
      </c>
      <c r="CP20" s="36">
        <v>18</v>
      </c>
      <c r="CQ20" s="36">
        <v>19</v>
      </c>
      <c r="CR20" s="36">
        <v>54</v>
      </c>
      <c r="CS20" s="36">
        <v>23</v>
      </c>
      <c r="CT20" s="35">
        <f t="shared" si="10"/>
        <v>123</v>
      </c>
      <c r="CV20" s="36">
        <v>554</v>
      </c>
      <c r="CW20" s="36" t="s">
        <v>512</v>
      </c>
      <c r="CX20" s="36">
        <v>53</v>
      </c>
      <c r="CY20" s="36">
        <v>16</v>
      </c>
      <c r="CZ20" s="36">
        <v>64</v>
      </c>
      <c r="DA20" s="36">
        <v>3</v>
      </c>
      <c r="DB20" s="36">
        <v>49</v>
      </c>
      <c r="DC20" s="35">
        <f t="shared" si="11"/>
        <v>185</v>
      </c>
      <c r="DE20" s="36">
        <v>606</v>
      </c>
      <c r="DF20" s="36" t="s">
        <v>506</v>
      </c>
      <c r="DG20" s="36">
        <v>74</v>
      </c>
      <c r="DH20" s="36">
        <v>40</v>
      </c>
      <c r="DI20" s="36">
        <v>53</v>
      </c>
      <c r="DJ20" s="36">
        <v>51</v>
      </c>
      <c r="DK20" s="36">
        <v>77</v>
      </c>
      <c r="DL20" s="35">
        <f t="shared" si="12"/>
        <v>295</v>
      </c>
    </row>
    <row r="21" spans="10:116" ht="18" x14ac:dyDescent="0.2">
      <c r="J21" s="34">
        <v>33</v>
      </c>
      <c r="K21" s="34" t="s">
        <v>513</v>
      </c>
      <c r="L21" s="34">
        <v>37</v>
      </c>
      <c r="M21" s="34">
        <v>71</v>
      </c>
      <c r="N21" s="34">
        <v>28</v>
      </c>
      <c r="O21" s="34">
        <v>73</v>
      </c>
      <c r="P21" s="34">
        <v>24</v>
      </c>
      <c r="Q21" s="35">
        <f t="shared" si="1"/>
        <v>233</v>
      </c>
      <c r="S21" s="34">
        <v>85</v>
      </c>
      <c r="T21" s="34" t="s">
        <v>514</v>
      </c>
      <c r="U21" s="34">
        <v>32</v>
      </c>
      <c r="V21" s="34">
        <v>15</v>
      </c>
      <c r="W21" s="34">
        <v>71</v>
      </c>
      <c r="X21" s="34">
        <v>86</v>
      </c>
      <c r="Y21" s="34">
        <v>13</v>
      </c>
      <c r="Z21" s="35">
        <f t="shared" si="2"/>
        <v>217</v>
      </c>
      <c r="AB21" s="34">
        <v>137</v>
      </c>
      <c r="AC21" s="34" t="s">
        <v>515</v>
      </c>
      <c r="AD21" s="34">
        <v>60</v>
      </c>
      <c r="AE21" s="34">
        <v>37</v>
      </c>
      <c r="AF21" s="34">
        <v>48</v>
      </c>
      <c r="AG21" s="34">
        <v>66</v>
      </c>
      <c r="AH21" s="34">
        <v>44</v>
      </c>
      <c r="AI21" s="35">
        <f t="shared" si="3"/>
        <v>255</v>
      </c>
      <c r="AK21" s="34">
        <v>189</v>
      </c>
      <c r="AL21" s="34" t="s">
        <v>516</v>
      </c>
      <c r="AM21" s="34">
        <v>51</v>
      </c>
      <c r="AN21" s="34">
        <v>70</v>
      </c>
      <c r="AO21" s="34">
        <v>85</v>
      </c>
      <c r="AP21" s="34">
        <v>56</v>
      </c>
      <c r="AQ21" s="34">
        <v>46</v>
      </c>
      <c r="AR21" s="35">
        <f t="shared" si="4"/>
        <v>308</v>
      </c>
      <c r="AT21" s="34">
        <v>242</v>
      </c>
      <c r="AU21" s="34" t="s">
        <v>517</v>
      </c>
      <c r="AV21" s="34">
        <v>82</v>
      </c>
      <c r="AW21" s="34">
        <v>61</v>
      </c>
      <c r="AX21" s="34">
        <v>58</v>
      </c>
      <c r="AY21" s="34">
        <v>62</v>
      </c>
      <c r="AZ21" s="34">
        <v>20</v>
      </c>
      <c r="BA21" s="35">
        <f t="shared" si="5"/>
        <v>283</v>
      </c>
      <c r="BC21" s="34">
        <v>294</v>
      </c>
      <c r="BD21" s="34" t="s">
        <v>513</v>
      </c>
      <c r="BE21" s="34">
        <v>77</v>
      </c>
      <c r="BF21" s="34">
        <v>9</v>
      </c>
      <c r="BG21" s="34">
        <v>32</v>
      </c>
      <c r="BH21" s="34">
        <v>1</v>
      </c>
      <c r="BI21" s="34">
        <v>30</v>
      </c>
      <c r="BJ21" s="35">
        <f t="shared" si="6"/>
        <v>149</v>
      </c>
      <c r="BL21" s="34">
        <v>346</v>
      </c>
      <c r="BM21" s="34" t="s">
        <v>518</v>
      </c>
      <c r="BN21" s="34">
        <v>54</v>
      </c>
      <c r="BO21" s="34">
        <v>58</v>
      </c>
      <c r="BP21" s="34">
        <v>84</v>
      </c>
      <c r="BQ21" s="34">
        <v>85</v>
      </c>
      <c r="BR21" s="34">
        <v>37</v>
      </c>
      <c r="BS21" s="35">
        <f t="shared" si="7"/>
        <v>318</v>
      </c>
      <c r="BU21" s="34">
        <v>398</v>
      </c>
      <c r="BV21" s="34" t="s">
        <v>514</v>
      </c>
      <c r="BW21" s="34">
        <v>44</v>
      </c>
      <c r="BX21" s="34">
        <v>76</v>
      </c>
      <c r="BY21" s="34">
        <v>55</v>
      </c>
      <c r="BZ21" s="34">
        <v>36</v>
      </c>
      <c r="CA21" s="34">
        <v>54</v>
      </c>
      <c r="CB21" s="35">
        <f t="shared" si="8"/>
        <v>265</v>
      </c>
      <c r="CD21" s="34">
        <v>450</v>
      </c>
      <c r="CE21" s="34" t="s">
        <v>515</v>
      </c>
      <c r="CF21" s="34">
        <v>4</v>
      </c>
      <c r="CG21" s="34">
        <v>42</v>
      </c>
      <c r="CH21" s="34">
        <v>5</v>
      </c>
      <c r="CI21" s="34">
        <v>17</v>
      </c>
      <c r="CJ21" s="34">
        <v>78</v>
      </c>
      <c r="CK21" s="35">
        <f t="shared" si="9"/>
        <v>146</v>
      </c>
      <c r="CM21" s="34">
        <v>502</v>
      </c>
      <c r="CN21" s="34" t="s">
        <v>510</v>
      </c>
      <c r="CO21" s="34">
        <v>79</v>
      </c>
      <c r="CP21" s="34">
        <v>31</v>
      </c>
      <c r="CQ21" s="34">
        <v>84</v>
      </c>
      <c r="CR21" s="34">
        <v>36</v>
      </c>
      <c r="CS21" s="34">
        <v>87</v>
      </c>
      <c r="CT21" s="35">
        <f t="shared" si="10"/>
        <v>317</v>
      </c>
      <c r="CV21" s="34">
        <v>555</v>
      </c>
      <c r="CW21" s="34" t="s">
        <v>519</v>
      </c>
      <c r="CX21" s="34">
        <v>25</v>
      </c>
      <c r="CY21" s="34">
        <v>16</v>
      </c>
      <c r="CZ21" s="34">
        <v>10</v>
      </c>
      <c r="DA21" s="34">
        <v>51</v>
      </c>
      <c r="DB21" s="34">
        <v>78</v>
      </c>
      <c r="DC21" s="35">
        <f t="shared" si="11"/>
        <v>180</v>
      </c>
      <c r="DE21" s="34">
        <v>607</v>
      </c>
      <c r="DF21" s="34" t="s">
        <v>513</v>
      </c>
      <c r="DG21" s="34">
        <v>49</v>
      </c>
      <c r="DH21" s="34">
        <v>5</v>
      </c>
      <c r="DI21" s="34">
        <v>75</v>
      </c>
      <c r="DJ21" s="34">
        <v>9</v>
      </c>
      <c r="DK21" s="34">
        <v>18</v>
      </c>
      <c r="DL21" s="35">
        <f t="shared" si="12"/>
        <v>156</v>
      </c>
    </row>
    <row r="22" spans="10:116" ht="18" x14ac:dyDescent="0.2">
      <c r="J22" s="36">
        <v>34</v>
      </c>
      <c r="K22" s="36" t="s">
        <v>520</v>
      </c>
      <c r="L22" s="36">
        <v>51</v>
      </c>
      <c r="M22" s="36">
        <v>47</v>
      </c>
      <c r="N22" s="36">
        <v>79</v>
      </c>
      <c r="O22" s="36">
        <v>1</v>
      </c>
      <c r="P22" s="36">
        <v>62</v>
      </c>
      <c r="Q22" s="35">
        <f t="shared" si="1"/>
        <v>240</v>
      </c>
      <c r="S22" s="36">
        <v>86</v>
      </c>
      <c r="T22" s="36" t="s">
        <v>521</v>
      </c>
      <c r="U22" s="36">
        <v>11</v>
      </c>
      <c r="V22" s="36">
        <v>59</v>
      </c>
      <c r="W22" s="36">
        <v>69</v>
      </c>
      <c r="X22" s="36">
        <v>90</v>
      </c>
      <c r="Y22" s="36">
        <v>31</v>
      </c>
      <c r="Z22" s="35">
        <f t="shared" si="2"/>
        <v>260</v>
      </c>
      <c r="AB22" s="36">
        <v>138</v>
      </c>
      <c r="AC22" s="36" t="s">
        <v>522</v>
      </c>
      <c r="AD22" s="36">
        <v>44</v>
      </c>
      <c r="AE22" s="36">
        <v>56</v>
      </c>
      <c r="AF22" s="36">
        <v>43</v>
      </c>
      <c r="AG22" s="36">
        <v>75</v>
      </c>
      <c r="AH22" s="36">
        <v>17</v>
      </c>
      <c r="AI22" s="35">
        <f t="shared" si="3"/>
        <v>235</v>
      </c>
      <c r="AK22" s="36">
        <v>190</v>
      </c>
      <c r="AL22" s="36" t="s">
        <v>523</v>
      </c>
      <c r="AM22" s="36">
        <v>85</v>
      </c>
      <c r="AN22" s="36">
        <v>37</v>
      </c>
      <c r="AO22" s="36">
        <v>8</v>
      </c>
      <c r="AP22" s="36">
        <v>84</v>
      </c>
      <c r="AQ22" s="36">
        <v>77</v>
      </c>
      <c r="AR22" s="35">
        <f t="shared" si="4"/>
        <v>291</v>
      </c>
      <c r="AT22" s="36">
        <v>243</v>
      </c>
      <c r="AU22" s="36" t="s">
        <v>524</v>
      </c>
      <c r="AV22" s="36">
        <v>37</v>
      </c>
      <c r="AW22" s="36">
        <v>80</v>
      </c>
      <c r="AX22" s="36">
        <v>57</v>
      </c>
      <c r="AY22" s="36">
        <v>83</v>
      </c>
      <c r="AZ22" s="36">
        <v>87</v>
      </c>
      <c r="BA22" s="35">
        <f t="shared" si="5"/>
        <v>344</v>
      </c>
      <c r="BC22" s="36">
        <v>295</v>
      </c>
      <c r="BD22" s="36" t="s">
        <v>520</v>
      </c>
      <c r="BE22" s="36">
        <v>16</v>
      </c>
      <c r="BF22" s="36">
        <v>77</v>
      </c>
      <c r="BG22" s="36">
        <v>88</v>
      </c>
      <c r="BH22" s="36">
        <v>32</v>
      </c>
      <c r="BI22" s="36">
        <v>47</v>
      </c>
      <c r="BJ22" s="35">
        <f t="shared" si="6"/>
        <v>260</v>
      </c>
      <c r="BL22" s="36">
        <v>347</v>
      </c>
      <c r="BM22" s="36" t="s">
        <v>525</v>
      </c>
      <c r="BN22" s="36">
        <v>81</v>
      </c>
      <c r="BO22" s="36">
        <v>83</v>
      </c>
      <c r="BP22" s="36">
        <v>32</v>
      </c>
      <c r="BQ22" s="36">
        <v>39</v>
      </c>
      <c r="BR22" s="36">
        <v>26</v>
      </c>
      <c r="BS22" s="35">
        <f t="shared" si="7"/>
        <v>261</v>
      </c>
      <c r="BU22" s="36">
        <v>399</v>
      </c>
      <c r="BV22" s="36" t="s">
        <v>521</v>
      </c>
      <c r="BW22" s="36">
        <v>71</v>
      </c>
      <c r="BX22" s="36">
        <v>88</v>
      </c>
      <c r="BY22" s="36">
        <v>80</v>
      </c>
      <c r="BZ22" s="36">
        <v>76</v>
      </c>
      <c r="CA22" s="36">
        <v>30</v>
      </c>
      <c r="CB22" s="35">
        <f t="shared" si="8"/>
        <v>345</v>
      </c>
      <c r="CD22" s="36">
        <v>451</v>
      </c>
      <c r="CE22" s="36" t="s">
        <v>522</v>
      </c>
      <c r="CF22" s="36">
        <v>24</v>
      </c>
      <c r="CG22" s="36">
        <v>48</v>
      </c>
      <c r="CH22" s="36">
        <v>27</v>
      </c>
      <c r="CI22" s="36">
        <v>15</v>
      </c>
      <c r="CJ22" s="36">
        <v>45</v>
      </c>
      <c r="CK22" s="35">
        <f t="shared" si="9"/>
        <v>159</v>
      </c>
      <c r="CM22" s="36">
        <v>503</v>
      </c>
      <c r="CN22" s="36" t="s">
        <v>517</v>
      </c>
      <c r="CO22" s="36">
        <v>75</v>
      </c>
      <c r="CP22" s="36">
        <v>87</v>
      </c>
      <c r="CQ22" s="36">
        <v>20</v>
      </c>
      <c r="CR22" s="36">
        <v>90</v>
      </c>
      <c r="CS22" s="36">
        <v>43</v>
      </c>
      <c r="CT22" s="35">
        <f t="shared" si="10"/>
        <v>315</v>
      </c>
      <c r="CV22" s="36">
        <v>556</v>
      </c>
      <c r="CW22" s="36" t="s">
        <v>526</v>
      </c>
      <c r="CX22" s="36">
        <v>39</v>
      </c>
      <c r="CY22" s="36">
        <v>24</v>
      </c>
      <c r="CZ22" s="36">
        <v>62</v>
      </c>
      <c r="DA22" s="36">
        <v>80</v>
      </c>
      <c r="DB22" s="36">
        <v>77</v>
      </c>
      <c r="DC22" s="35">
        <f t="shared" si="11"/>
        <v>282</v>
      </c>
      <c r="DE22" s="36">
        <v>608</v>
      </c>
      <c r="DF22" s="36" t="s">
        <v>520</v>
      </c>
      <c r="DG22" s="36">
        <v>35</v>
      </c>
      <c r="DH22" s="36">
        <v>27</v>
      </c>
      <c r="DI22" s="36">
        <v>9</v>
      </c>
      <c r="DJ22" s="36">
        <v>48</v>
      </c>
      <c r="DK22" s="36">
        <v>21</v>
      </c>
      <c r="DL22" s="35">
        <f t="shared" si="12"/>
        <v>140</v>
      </c>
    </row>
    <row r="23" spans="10:116" ht="18" x14ac:dyDescent="0.2">
      <c r="J23" s="34">
        <v>35</v>
      </c>
      <c r="K23" s="34" t="s">
        <v>527</v>
      </c>
      <c r="L23" s="34">
        <v>28</v>
      </c>
      <c r="M23" s="34">
        <v>24</v>
      </c>
      <c r="N23" s="34">
        <v>27</v>
      </c>
      <c r="O23" s="34">
        <v>22</v>
      </c>
      <c r="P23" s="34">
        <v>44</v>
      </c>
      <c r="Q23" s="35">
        <f t="shared" si="1"/>
        <v>145</v>
      </c>
      <c r="S23" s="34">
        <v>87</v>
      </c>
      <c r="T23" s="34" t="s">
        <v>528</v>
      </c>
      <c r="U23" s="34">
        <v>74</v>
      </c>
      <c r="V23" s="34">
        <v>90</v>
      </c>
      <c r="W23" s="34">
        <v>83</v>
      </c>
      <c r="X23" s="34">
        <v>68</v>
      </c>
      <c r="Y23" s="34">
        <v>53</v>
      </c>
      <c r="Z23" s="35">
        <f t="shared" si="2"/>
        <v>368</v>
      </c>
      <c r="AB23" s="34">
        <v>139</v>
      </c>
      <c r="AC23" s="34" t="s">
        <v>529</v>
      </c>
      <c r="AD23" s="34">
        <v>74</v>
      </c>
      <c r="AE23" s="34">
        <v>42</v>
      </c>
      <c r="AF23" s="34">
        <v>19</v>
      </c>
      <c r="AG23" s="34">
        <v>81</v>
      </c>
      <c r="AH23" s="34">
        <v>60</v>
      </c>
      <c r="AI23" s="35">
        <f t="shared" si="3"/>
        <v>276</v>
      </c>
      <c r="AK23" s="34">
        <v>191</v>
      </c>
      <c r="AL23" s="34" t="s">
        <v>530</v>
      </c>
      <c r="AM23" s="34">
        <v>61</v>
      </c>
      <c r="AN23" s="34">
        <v>29</v>
      </c>
      <c r="AO23" s="34">
        <v>25</v>
      </c>
      <c r="AP23" s="34">
        <v>21</v>
      </c>
      <c r="AQ23" s="34">
        <v>62</v>
      </c>
      <c r="AR23" s="35">
        <f t="shared" si="4"/>
        <v>198</v>
      </c>
      <c r="AT23" s="34">
        <v>244</v>
      </c>
      <c r="AU23" s="34" t="s">
        <v>531</v>
      </c>
      <c r="AV23" s="34">
        <v>46</v>
      </c>
      <c r="AW23" s="34">
        <v>8</v>
      </c>
      <c r="AX23" s="34">
        <v>25</v>
      </c>
      <c r="AY23" s="34">
        <v>20</v>
      </c>
      <c r="AZ23" s="34">
        <v>31</v>
      </c>
      <c r="BA23" s="35">
        <f t="shared" si="5"/>
        <v>130</v>
      </c>
      <c r="BC23" s="34">
        <v>296</v>
      </c>
      <c r="BD23" s="34" t="s">
        <v>527</v>
      </c>
      <c r="BE23" s="34">
        <v>15</v>
      </c>
      <c r="BF23" s="34">
        <v>83</v>
      </c>
      <c r="BG23" s="34">
        <v>17</v>
      </c>
      <c r="BH23" s="34">
        <v>35</v>
      </c>
      <c r="BI23" s="34">
        <v>43</v>
      </c>
      <c r="BJ23" s="35">
        <f t="shared" si="6"/>
        <v>193</v>
      </c>
      <c r="BL23" s="34">
        <v>348</v>
      </c>
      <c r="BM23" s="34" t="s">
        <v>532</v>
      </c>
      <c r="BN23" s="34">
        <v>33</v>
      </c>
      <c r="BO23" s="34">
        <v>1</v>
      </c>
      <c r="BP23" s="34">
        <v>43</v>
      </c>
      <c r="BQ23" s="34">
        <v>36</v>
      </c>
      <c r="BR23" s="34">
        <v>22</v>
      </c>
      <c r="BS23" s="35">
        <f t="shared" si="7"/>
        <v>135</v>
      </c>
      <c r="BU23" s="34">
        <v>400</v>
      </c>
      <c r="BV23" s="34" t="s">
        <v>528</v>
      </c>
      <c r="BW23" s="34">
        <v>42</v>
      </c>
      <c r="BX23" s="34">
        <v>52</v>
      </c>
      <c r="BY23" s="34">
        <v>70</v>
      </c>
      <c r="BZ23" s="34">
        <v>68</v>
      </c>
      <c r="CA23" s="34">
        <v>81</v>
      </c>
      <c r="CB23" s="35">
        <f t="shared" si="8"/>
        <v>313</v>
      </c>
      <c r="CD23" s="34">
        <v>452</v>
      </c>
      <c r="CE23" s="34" t="s">
        <v>529</v>
      </c>
      <c r="CF23" s="34">
        <v>75</v>
      </c>
      <c r="CG23" s="34">
        <v>89</v>
      </c>
      <c r="CH23" s="34">
        <v>33</v>
      </c>
      <c r="CI23" s="34">
        <v>27</v>
      </c>
      <c r="CJ23" s="34">
        <v>10</v>
      </c>
      <c r="CK23" s="35">
        <f t="shared" si="9"/>
        <v>234</v>
      </c>
      <c r="CM23" s="34">
        <v>504</v>
      </c>
      <c r="CN23" s="34" t="s">
        <v>524</v>
      </c>
      <c r="CO23" s="34">
        <v>90</v>
      </c>
      <c r="CP23" s="34">
        <v>71</v>
      </c>
      <c r="CQ23" s="34">
        <v>66</v>
      </c>
      <c r="CR23" s="34">
        <v>10</v>
      </c>
      <c r="CS23" s="34">
        <v>62</v>
      </c>
      <c r="CT23" s="35">
        <f t="shared" si="10"/>
        <v>299</v>
      </c>
      <c r="CV23" s="34">
        <v>557</v>
      </c>
      <c r="CW23" s="34" t="s">
        <v>533</v>
      </c>
      <c r="CX23" s="34">
        <v>7</v>
      </c>
      <c r="CY23" s="34">
        <v>35</v>
      </c>
      <c r="CZ23" s="34">
        <v>13</v>
      </c>
      <c r="DA23" s="34">
        <v>11</v>
      </c>
      <c r="DB23" s="34">
        <v>6</v>
      </c>
      <c r="DC23" s="35">
        <f t="shared" si="11"/>
        <v>72</v>
      </c>
      <c r="DE23" s="34">
        <v>609</v>
      </c>
      <c r="DF23" s="34" t="s">
        <v>527</v>
      </c>
      <c r="DG23" s="34">
        <v>22</v>
      </c>
      <c r="DH23" s="34">
        <v>67</v>
      </c>
      <c r="DI23" s="34">
        <v>74</v>
      </c>
      <c r="DJ23" s="34">
        <v>11</v>
      </c>
      <c r="DK23" s="34">
        <v>50</v>
      </c>
      <c r="DL23" s="35">
        <f t="shared" si="12"/>
        <v>224</v>
      </c>
    </row>
    <row r="24" spans="10:116" ht="18" x14ac:dyDescent="0.2">
      <c r="J24" s="36">
        <v>36</v>
      </c>
      <c r="K24" s="36" t="s">
        <v>534</v>
      </c>
      <c r="L24" s="36">
        <v>6</v>
      </c>
      <c r="M24" s="36">
        <v>2</v>
      </c>
      <c r="N24" s="36">
        <v>62</v>
      </c>
      <c r="O24" s="36">
        <v>33</v>
      </c>
      <c r="P24" s="36">
        <v>1</v>
      </c>
      <c r="Q24" s="35">
        <f t="shared" si="1"/>
        <v>104</v>
      </c>
      <c r="S24" s="36">
        <v>88</v>
      </c>
      <c r="T24" s="36" t="s">
        <v>535</v>
      </c>
      <c r="U24" s="36">
        <v>7</v>
      </c>
      <c r="V24" s="36">
        <v>76</v>
      </c>
      <c r="W24" s="36">
        <v>31</v>
      </c>
      <c r="X24" s="36">
        <v>34</v>
      </c>
      <c r="Y24" s="36">
        <v>3</v>
      </c>
      <c r="Z24" s="35">
        <f t="shared" si="2"/>
        <v>151</v>
      </c>
      <c r="AB24" s="36">
        <v>140</v>
      </c>
      <c r="AC24" s="36" t="s">
        <v>536</v>
      </c>
      <c r="AD24" s="36">
        <v>43</v>
      </c>
      <c r="AE24" s="36">
        <v>62</v>
      </c>
      <c r="AF24" s="36">
        <v>56</v>
      </c>
      <c r="AG24" s="36">
        <v>54</v>
      </c>
      <c r="AH24" s="36">
        <v>5</v>
      </c>
      <c r="AI24" s="35">
        <f t="shared" si="3"/>
        <v>220</v>
      </c>
      <c r="AK24" s="36">
        <v>192</v>
      </c>
      <c r="AL24" s="36" t="s">
        <v>537</v>
      </c>
      <c r="AM24" s="36">
        <v>73</v>
      </c>
      <c r="AN24" s="36">
        <v>40</v>
      </c>
      <c r="AO24" s="36">
        <v>30</v>
      </c>
      <c r="AP24" s="36">
        <v>82</v>
      </c>
      <c r="AQ24" s="36">
        <v>36</v>
      </c>
      <c r="AR24" s="35">
        <f t="shared" si="4"/>
        <v>261</v>
      </c>
      <c r="AT24" s="36">
        <v>245</v>
      </c>
      <c r="AU24" s="36" t="s">
        <v>538</v>
      </c>
      <c r="AV24" s="36">
        <v>24</v>
      </c>
      <c r="AW24" s="36">
        <v>64</v>
      </c>
      <c r="AX24" s="36">
        <v>35</v>
      </c>
      <c r="AY24" s="36">
        <v>1</v>
      </c>
      <c r="AZ24" s="36">
        <v>59</v>
      </c>
      <c r="BA24" s="35">
        <f t="shared" si="5"/>
        <v>183</v>
      </c>
      <c r="BC24" s="36">
        <v>297</v>
      </c>
      <c r="BD24" s="36" t="s">
        <v>534</v>
      </c>
      <c r="BE24" s="36">
        <v>38</v>
      </c>
      <c r="BF24" s="36">
        <v>69</v>
      </c>
      <c r="BG24" s="36">
        <v>65</v>
      </c>
      <c r="BH24" s="36">
        <v>60</v>
      </c>
      <c r="BI24" s="36">
        <v>52</v>
      </c>
      <c r="BJ24" s="35">
        <f t="shared" si="6"/>
        <v>284</v>
      </c>
      <c r="BL24" s="36">
        <v>349</v>
      </c>
      <c r="BM24" s="36" t="s">
        <v>539</v>
      </c>
      <c r="BN24" s="36">
        <v>50</v>
      </c>
      <c r="BO24" s="36">
        <v>70</v>
      </c>
      <c r="BP24" s="36">
        <v>68</v>
      </c>
      <c r="BQ24" s="36">
        <v>53</v>
      </c>
      <c r="BR24" s="36">
        <v>72</v>
      </c>
      <c r="BS24" s="35">
        <f t="shared" si="7"/>
        <v>313</v>
      </c>
      <c r="BU24" s="36">
        <v>401</v>
      </c>
      <c r="BV24" s="36" t="s">
        <v>535</v>
      </c>
      <c r="BW24" s="36">
        <v>27</v>
      </c>
      <c r="BX24" s="36">
        <v>20</v>
      </c>
      <c r="BY24" s="36">
        <v>53</v>
      </c>
      <c r="BZ24" s="36">
        <v>76</v>
      </c>
      <c r="CA24" s="36">
        <v>85</v>
      </c>
      <c r="CB24" s="35">
        <f t="shared" si="8"/>
        <v>261</v>
      </c>
      <c r="CD24" s="36">
        <v>453</v>
      </c>
      <c r="CE24" s="36" t="s">
        <v>536</v>
      </c>
      <c r="CF24" s="36">
        <v>36</v>
      </c>
      <c r="CG24" s="36">
        <v>1</v>
      </c>
      <c r="CH24" s="36">
        <v>42</v>
      </c>
      <c r="CI24" s="36">
        <v>55</v>
      </c>
      <c r="CJ24" s="36">
        <v>28</v>
      </c>
      <c r="CK24" s="35">
        <f t="shared" si="9"/>
        <v>162</v>
      </c>
      <c r="CM24" s="36">
        <v>505</v>
      </c>
      <c r="CN24" s="36" t="s">
        <v>531</v>
      </c>
      <c r="CO24" s="36">
        <v>74</v>
      </c>
      <c r="CP24" s="36">
        <v>86</v>
      </c>
      <c r="CQ24" s="36">
        <v>46</v>
      </c>
      <c r="CR24" s="36">
        <v>79</v>
      </c>
      <c r="CS24" s="36">
        <v>18</v>
      </c>
      <c r="CT24" s="35">
        <f t="shared" si="10"/>
        <v>303</v>
      </c>
      <c r="CV24" s="36">
        <v>558</v>
      </c>
      <c r="CW24" s="36" t="s">
        <v>540</v>
      </c>
      <c r="CX24" s="36">
        <v>54</v>
      </c>
      <c r="CY24" s="36">
        <v>90</v>
      </c>
      <c r="CZ24" s="36">
        <v>6</v>
      </c>
      <c r="DA24" s="36">
        <v>5</v>
      </c>
      <c r="DB24" s="36">
        <v>50</v>
      </c>
      <c r="DC24" s="35">
        <f t="shared" si="11"/>
        <v>205</v>
      </c>
      <c r="DE24" s="36">
        <v>610</v>
      </c>
      <c r="DF24" s="36" t="s">
        <v>534</v>
      </c>
      <c r="DG24" s="36">
        <v>15</v>
      </c>
      <c r="DH24" s="36">
        <v>78</v>
      </c>
      <c r="DI24" s="36">
        <v>18</v>
      </c>
      <c r="DJ24" s="36">
        <v>5</v>
      </c>
      <c r="DK24" s="36">
        <v>24</v>
      </c>
      <c r="DL24" s="35">
        <f t="shared" si="12"/>
        <v>140</v>
      </c>
    </row>
    <row r="25" spans="10:116" ht="18" x14ac:dyDescent="0.2">
      <c r="J25" s="34">
        <v>37</v>
      </c>
      <c r="K25" s="34" t="s">
        <v>541</v>
      </c>
      <c r="L25" s="34">
        <v>77</v>
      </c>
      <c r="M25" s="34">
        <v>17</v>
      </c>
      <c r="N25" s="34">
        <v>55</v>
      </c>
      <c r="O25" s="34">
        <v>38</v>
      </c>
      <c r="P25" s="34">
        <v>85</v>
      </c>
      <c r="Q25" s="35">
        <f t="shared" si="1"/>
        <v>272</v>
      </c>
      <c r="S25" s="34">
        <v>89</v>
      </c>
      <c r="T25" s="34" t="s">
        <v>542</v>
      </c>
      <c r="U25" s="34">
        <v>43</v>
      </c>
      <c r="V25" s="34">
        <v>85</v>
      </c>
      <c r="W25" s="34">
        <v>31</v>
      </c>
      <c r="X25" s="34">
        <v>36</v>
      </c>
      <c r="Y25" s="34">
        <v>69</v>
      </c>
      <c r="Z25" s="35">
        <f t="shared" si="2"/>
        <v>264</v>
      </c>
      <c r="AB25" s="34">
        <v>141</v>
      </c>
      <c r="AC25" s="34" t="s">
        <v>543</v>
      </c>
      <c r="AD25" s="34">
        <v>47</v>
      </c>
      <c r="AE25" s="34">
        <v>67</v>
      </c>
      <c r="AF25" s="34">
        <v>33</v>
      </c>
      <c r="AG25" s="34">
        <v>36</v>
      </c>
      <c r="AH25" s="34">
        <v>17</v>
      </c>
      <c r="AI25" s="35">
        <f t="shared" si="3"/>
        <v>200</v>
      </c>
      <c r="AK25" s="34">
        <v>193</v>
      </c>
      <c r="AL25" s="34" t="s">
        <v>544</v>
      </c>
      <c r="AM25" s="34">
        <v>85</v>
      </c>
      <c r="AN25" s="34">
        <v>67</v>
      </c>
      <c r="AO25" s="34">
        <v>89</v>
      </c>
      <c r="AP25" s="34">
        <v>83</v>
      </c>
      <c r="AQ25" s="34">
        <v>76</v>
      </c>
      <c r="AR25" s="35">
        <f t="shared" si="4"/>
        <v>400</v>
      </c>
      <c r="AT25" s="34">
        <v>246</v>
      </c>
      <c r="AU25" s="34" t="s">
        <v>545</v>
      </c>
      <c r="AV25" s="34">
        <v>21</v>
      </c>
      <c r="AW25" s="34">
        <v>52</v>
      </c>
      <c r="AX25" s="34">
        <v>18</v>
      </c>
      <c r="AY25" s="34">
        <v>87</v>
      </c>
      <c r="AZ25" s="34">
        <v>58</v>
      </c>
      <c r="BA25" s="35">
        <f t="shared" si="5"/>
        <v>236</v>
      </c>
      <c r="BC25" s="34">
        <v>298</v>
      </c>
      <c r="BD25" s="34" t="s">
        <v>541</v>
      </c>
      <c r="BE25" s="34">
        <v>4</v>
      </c>
      <c r="BF25" s="34">
        <v>74</v>
      </c>
      <c r="BG25" s="34">
        <v>18</v>
      </c>
      <c r="BH25" s="34">
        <v>55</v>
      </c>
      <c r="BI25" s="34">
        <v>76</v>
      </c>
      <c r="BJ25" s="35">
        <f t="shared" si="6"/>
        <v>227</v>
      </c>
      <c r="BL25" s="34">
        <v>350</v>
      </c>
      <c r="BM25" s="34" t="s">
        <v>546</v>
      </c>
      <c r="BN25" s="34">
        <v>66</v>
      </c>
      <c r="BO25" s="34">
        <v>64</v>
      </c>
      <c r="BP25" s="34">
        <v>15</v>
      </c>
      <c r="BQ25" s="34">
        <v>81</v>
      </c>
      <c r="BR25" s="34">
        <v>24</v>
      </c>
      <c r="BS25" s="35">
        <f t="shared" si="7"/>
        <v>250</v>
      </c>
      <c r="BU25" s="34">
        <v>402</v>
      </c>
      <c r="BV25" s="34" t="s">
        <v>542</v>
      </c>
      <c r="BW25" s="34">
        <v>31</v>
      </c>
      <c r="BX25" s="34">
        <v>89</v>
      </c>
      <c r="BY25" s="34">
        <v>1</v>
      </c>
      <c r="BZ25" s="34">
        <v>25</v>
      </c>
      <c r="CA25" s="34">
        <v>51</v>
      </c>
      <c r="CB25" s="35">
        <f t="shared" si="8"/>
        <v>197</v>
      </c>
      <c r="CD25" s="34">
        <v>454</v>
      </c>
      <c r="CE25" s="34" t="s">
        <v>543</v>
      </c>
      <c r="CF25" s="34">
        <v>17</v>
      </c>
      <c r="CG25" s="34">
        <v>74</v>
      </c>
      <c r="CH25" s="34">
        <v>33</v>
      </c>
      <c r="CI25" s="34">
        <v>69</v>
      </c>
      <c r="CJ25" s="34">
        <v>67</v>
      </c>
      <c r="CK25" s="35">
        <f t="shared" si="9"/>
        <v>260</v>
      </c>
      <c r="CM25" s="34">
        <v>506</v>
      </c>
      <c r="CN25" s="34" t="s">
        <v>538</v>
      </c>
      <c r="CO25" s="34">
        <v>6</v>
      </c>
      <c r="CP25" s="34">
        <v>72</v>
      </c>
      <c r="CQ25" s="34">
        <v>12</v>
      </c>
      <c r="CR25" s="34">
        <v>62</v>
      </c>
      <c r="CS25" s="34">
        <v>61</v>
      </c>
      <c r="CT25" s="35">
        <f t="shared" si="10"/>
        <v>213</v>
      </c>
      <c r="CV25" s="34">
        <v>559</v>
      </c>
      <c r="CW25" s="34" t="s">
        <v>547</v>
      </c>
      <c r="CX25" s="34">
        <v>35</v>
      </c>
      <c r="CY25" s="34">
        <v>13</v>
      </c>
      <c r="CZ25" s="34">
        <v>40</v>
      </c>
      <c r="DA25" s="34">
        <v>82</v>
      </c>
      <c r="DB25" s="34">
        <v>24</v>
      </c>
      <c r="DC25" s="35">
        <f t="shared" si="11"/>
        <v>194</v>
      </c>
      <c r="DE25" s="34">
        <v>611</v>
      </c>
      <c r="DF25" s="34" t="s">
        <v>541</v>
      </c>
      <c r="DG25" s="34">
        <v>3</v>
      </c>
      <c r="DH25" s="34">
        <v>37</v>
      </c>
      <c r="DI25" s="34">
        <v>66</v>
      </c>
      <c r="DJ25" s="34">
        <v>29</v>
      </c>
      <c r="DK25" s="34">
        <v>14</v>
      </c>
      <c r="DL25" s="35">
        <f t="shared" si="12"/>
        <v>149</v>
      </c>
    </row>
    <row r="26" spans="10:116" ht="18" x14ac:dyDescent="0.2">
      <c r="J26" s="36">
        <v>38</v>
      </c>
      <c r="K26" s="36" t="s">
        <v>548</v>
      </c>
      <c r="L26" s="36">
        <v>54</v>
      </c>
      <c r="M26" s="36">
        <v>48</v>
      </c>
      <c r="N26" s="36">
        <v>2</v>
      </c>
      <c r="O26" s="36">
        <v>35</v>
      </c>
      <c r="P26" s="36">
        <v>18</v>
      </c>
      <c r="Q26" s="35">
        <f t="shared" si="1"/>
        <v>157</v>
      </c>
      <c r="S26" s="36">
        <v>90</v>
      </c>
      <c r="T26" s="36" t="s">
        <v>549</v>
      </c>
      <c r="U26" s="36">
        <v>77</v>
      </c>
      <c r="V26" s="36">
        <v>38</v>
      </c>
      <c r="W26" s="36">
        <v>23</v>
      </c>
      <c r="X26" s="36">
        <v>32</v>
      </c>
      <c r="Y26" s="36">
        <v>35</v>
      </c>
      <c r="Z26" s="35">
        <f t="shared" si="2"/>
        <v>205</v>
      </c>
      <c r="AB26" s="36">
        <v>142</v>
      </c>
      <c r="AC26" s="36" t="s">
        <v>550</v>
      </c>
      <c r="AD26" s="36">
        <v>3</v>
      </c>
      <c r="AE26" s="36">
        <v>13</v>
      </c>
      <c r="AF26" s="36">
        <v>11</v>
      </c>
      <c r="AG26" s="36">
        <v>52</v>
      </c>
      <c r="AH26" s="36">
        <v>70</v>
      </c>
      <c r="AI26" s="35">
        <f t="shared" si="3"/>
        <v>149</v>
      </c>
      <c r="AK26" s="36">
        <v>194</v>
      </c>
      <c r="AL26" s="36" t="s">
        <v>551</v>
      </c>
      <c r="AM26" s="36">
        <v>61</v>
      </c>
      <c r="AN26" s="36">
        <v>9</v>
      </c>
      <c r="AO26" s="36">
        <v>28</v>
      </c>
      <c r="AP26" s="36">
        <v>54</v>
      </c>
      <c r="AQ26" s="36">
        <v>52</v>
      </c>
      <c r="AR26" s="35">
        <f t="shared" si="4"/>
        <v>204</v>
      </c>
      <c r="AT26" s="36">
        <v>247</v>
      </c>
      <c r="AU26" s="36" t="s">
        <v>552</v>
      </c>
      <c r="AV26" s="36">
        <v>7</v>
      </c>
      <c r="AW26" s="36">
        <v>81</v>
      </c>
      <c r="AX26" s="36">
        <v>84</v>
      </c>
      <c r="AY26" s="36">
        <v>80</v>
      </c>
      <c r="AZ26" s="36">
        <v>54</v>
      </c>
      <c r="BA26" s="35">
        <f t="shared" si="5"/>
        <v>306</v>
      </c>
      <c r="BC26" s="36">
        <v>299</v>
      </c>
      <c r="BD26" s="36" t="s">
        <v>548</v>
      </c>
      <c r="BE26" s="36">
        <v>37</v>
      </c>
      <c r="BF26" s="36">
        <v>16</v>
      </c>
      <c r="BG26" s="36">
        <v>24</v>
      </c>
      <c r="BH26" s="36">
        <v>48</v>
      </c>
      <c r="BI26" s="36">
        <v>52</v>
      </c>
      <c r="BJ26" s="35">
        <f t="shared" si="6"/>
        <v>177</v>
      </c>
      <c r="BL26" s="36">
        <v>351</v>
      </c>
      <c r="BM26" s="36" t="s">
        <v>553</v>
      </c>
      <c r="BN26" s="36">
        <v>64</v>
      </c>
      <c r="BO26" s="36">
        <v>69</v>
      </c>
      <c r="BP26" s="36">
        <v>38</v>
      </c>
      <c r="BQ26" s="36">
        <v>14</v>
      </c>
      <c r="BR26" s="36">
        <v>28</v>
      </c>
      <c r="BS26" s="35">
        <f t="shared" si="7"/>
        <v>213</v>
      </c>
      <c r="BU26" s="36">
        <v>403</v>
      </c>
      <c r="BV26" s="36" t="s">
        <v>549</v>
      </c>
      <c r="BW26" s="36">
        <v>58</v>
      </c>
      <c r="BX26" s="36">
        <v>61</v>
      </c>
      <c r="BY26" s="36">
        <v>10</v>
      </c>
      <c r="BZ26" s="36">
        <v>22</v>
      </c>
      <c r="CA26" s="36">
        <v>5</v>
      </c>
      <c r="CB26" s="35">
        <f t="shared" si="8"/>
        <v>156</v>
      </c>
      <c r="CD26" s="36">
        <v>455</v>
      </c>
      <c r="CE26" s="36" t="s">
        <v>550</v>
      </c>
      <c r="CF26" s="36">
        <v>66</v>
      </c>
      <c r="CG26" s="36">
        <v>63</v>
      </c>
      <c r="CH26" s="36">
        <v>77</v>
      </c>
      <c r="CI26" s="36">
        <v>14</v>
      </c>
      <c r="CJ26" s="36">
        <v>8</v>
      </c>
      <c r="CK26" s="35">
        <f t="shared" si="9"/>
        <v>228</v>
      </c>
      <c r="CM26" s="36">
        <v>507</v>
      </c>
      <c r="CN26" s="36" t="s">
        <v>545</v>
      </c>
      <c r="CO26" s="36">
        <v>79</v>
      </c>
      <c r="CP26" s="36">
        <v>66</v>
      </c>
      <c r="CQ26" s="36">
        <v>30</v>
      </c>
      <c r="CR26" s="36">
        <v>6</v>
      </c>
      <c r="CS26" s="36">
        <v>84</v>
      </c>
      <c r="CT26" s="35">
        <f t="shared" si="10"/>
        <v>265</v>
      </c>
      <c r="CV26" s="36">
        <v>560</v>
      </c>
      <c r="CW26" s="36" t="s">
        <v>554</v>
      </c>
      <c r="CX26" s="36">
        <v>75</v>
      </c>
      <c r="CY26" s="36">
        <v>61</v>
      </c>
      <c r="CZ26" s="36">
        <v>37</v>
      </c>
      <c r="DA26" s="36">
        <v>46</v>
      </c>
      <c r="DB26" s="36">
        <v>50</v>
      </c>
      <c r="DC26" s="35">
        <f t="shared" si="11"/>
        <v>269</v>
      </c>
      <c r="DE26" s="36">
        <v>612</v>
      </c>
      <c r="DF26" s="36" t="s">
        <v>548</v>
      </c>
      <c r="DG26" s="36">
        <v>81</v>
      </c>
      <c r="DH26" s="36">
        <v>25</v>
      </c>
      <c r="DI26" s="36">
        <v>69</v>
      </c>
      <c r="DJ26" s="36">
        <v>77</v>
      </c>
      <c r="DK26" s="36">
        <v>17</v>
      </c>
      <c r="DL26" s="35">
        <f t="shared" si="12"/>
        <v>269</v>
      </c>
    </row>
    <row r="27" spans="10:116" ht="18" x14ac:dyDescent="0.2">
      <c r="J27" s="34">
        <v>39</v>
      </c>
      <c r="K27" s="34" t="s">
        <v>555</v>
      </c>
      <c r="L27" s="34">
        <v>89</v>
      </c>
      <c r="M27" s="34">
        <v>23</v>
      </c>
      <c r="N27" s="34">
        <v>1</v>
      </c>
      <c r="O27" s="34">
        <v>20</v>
      </c>
      <c r="P27" s="34">
        <v>3</v>
      </c>
      <c r="Q27" s="35">
        <f t="shared" si="1"/>
        <v>136</v>
      </c>
      <c r="S27" s="34">
        <v>91</v>
      </c>
      <c r="T27" s="34" t="s">
        <v>556</v>
      </c>
      <c r="U27" s="34">
        <v>39</v>
      </c>
      <c r="V27" s="34">
        <v>42</v>
      </c>
      <c r="W27" s="34">
        <v>20</v>
      </c>
      <c r="X27" s="34">
        <v>88</v>
      </c>
      <c r="Y27" s="34">
        <v>12</v>
      </c>
      <c r="Z27" s="35">
        <f t="shared" si="2"/>
        <v>201</v>
      </c>
      <c r="AB27" s="34">
        <v>143</v>
      </c>
      <c r="AC27" s="34" t="s">
        <v>557</v>
      </c>
      <c r="AD27" s="34">
        <v>18</v>
      </c>
      <c r="AE27" s="34">
        <v>65</v>
      </c>
      <c r="AF27" s="34">
        <v>30</v>
      </c>
      <c r="AG27" s="34">
        <v>79</v>
      </c>
      <c r="AH27" s="34">
        <v>45</v>
      </c>
      <c r="AI27" s="35">
        <f t="shared" si="3"/>
        <v>237</v>
      </c>
      <c r="AK27" s="34">
        <v>195</v>
      </c>
      <c r="AL27" s="34" t="s">
        <v>558</v>
      </c>
      <c r="AM27" s="34">
        <v>3</v>
      </c>
      <c r="AN27" s="34">
        <v>62</v>
      </c>
      <c r="AO27" s="34">
        <v>24</v>
      </c>
      <c r="AP27" s="34">
        <v>69</v>
      </c>
      <c r="AQ27" s="34">
        <v>64</v>
      </c>
      <c r="AR27" s="35">
        <f t="shared" si="4"/>
        <v>222</v>
      </c>
      <c r="AT27" s="34">
        <v>248</v>
      </c>
      <c r="AU27" s="34" t="s">
        <v>559</v>
      </c>
      <c r="AV27" s="34">
        <v>42</v>
      </c>
      <c r="AW27" s="34">
        <v>58</v>
      </c>
      <c r="AX27" s="34">
        <v>40</v>
      </c>
      <c r="AY27" s="34">
        <v>7</v>
      </c>
      <c r="AZ27" s="34">
        <v>23</v>
      </c>
      <c r="BA27" s="35">
        <f t="shared" si="5"/>
        <v>170</v>
      </c>
      <c r="BC27" s="34">
        <v>300</v>
      </c>
      <c r="BD27" s="34" t="s">
        <v>555</v>
      </c>
      <c r="BE27" s="34">
        <v>38</v>
      </c>
      <c r="BF27" s="34">
        <v>1</v>
      </c>
      <c r="BG27" s="34">
        <v>50</v>
      </c>
      <c r="BH27" s="34">
        <v>36</v>
      </c>
      <c r="BI27" s="34">
        <v>11</v>
      </c>
      <c r="BJ27" s="35">
        <f t="shared" si="6"/>
        <v>136</v>
      </c>
      <c r="BL27" s="34">
        <v>352</v>
      </c>
      <c r="BM27" s="34" t="s">
        <v>560</v>
      </c>
      <c r="BN27" s="34">
        <v>17</v>
      </c>
      <c r="BO27" s="34">
        <v>67</v>
      </c>
      <c r="BP27" s="34">
        <v>89</v>
      </c>
      <c r="BQ27" s="34">
        <v>77</v>
      </c>
      <c r="BR27" s="34">
        <v>1</v>
      </c>
      <c r="BS27" s="35">
        <f t="shared" si="7"/>
        <v>251</v>
      </c>
      <c r="BU27" s="34">
        <v>404</v>
      </c>
      <c r="BV27" s="34" t="s">
        <v>556</v>
      </c>
      <c r="BW27" s="34">
        <v>66</v>
      </c>
      <c r="BX27" s="34">
        <v>65</v>
      </c>
      <c r="BY27" s="34">
        <v>55</v>
      </c>
      <c r="BZ27" s="34">
        <v>87</v>
      </c>
      <c r="CA27" s="34">
        <v>61</v>
      </c>
      <c r="CB27" s="35">
        <f t="shared" si="8"/>
        <v>334</v>
      </c>
      <c r="CD27" s="34">
        <v>456</v>
      </c>
      <c r="CE27" s="34" t="s">
        <v>557</v>
      </c>
      <c r="CF27" s="34">
        <v>46</v>
      </c>
      <c r="CG27" s="34">
        <v>11</v>
      </c>
      <c r="CH27" s="34">
        <v>82</v>
      </c>
      <c r="CI27" s="34">
        <v>68</v>
      </c>
      <c r="CJ27" s="34">
        <v>21</v>
      </c>
      <c r="CK27" s="35">
        <f t="shared" si="9"/>
        <v>228</v>
      </c>
      <c r="CM27" s="34">
        <v>508</v>
      </c>
      <c r="CN27" s="34" t="s">
        <v>552</v>
      </c>
      <c r="CO27" s="34">
        <v>22</v>
      </c>
      <c r="CP27" s="34">
        <v>73</v>
      </c>
      <c r="CQ27" s="34">
        <v>4</v>
      </c>
      <c r="CR27" s="34">
        <v>64</v>
      </c>
      <c r="CS27" s="34">
        <v>41</v>
      </c>
      <c r="CT27" s="35">
        <f t="shared" si="10"/>
        <v>204</v>
      </c>
      <c r="CV27" s="34">
        <v>561</v>
      </c>
      <c r="CW27" s="34" t="s">
        <v>561</v>
      </c>
      <c r="CX27" s="34">
        <v>9</v>
      </c>
      <c r="CY27" s="34">
        <v>24</v>
      </c>
      <c r="CZ27" s="34">
        <v>3</v>
      </c>
      <c r="DA27" s="34">
        <v>55</v>
      </c>
      <c r="DB27" s="34">
        <v>18</v>
      </c>
      <c r="DC27" s="35">
        <f t="shared" si="11"/>
        <v>109</v>
      </c>
      <c r="DE27" s="34">
        <v>613</v>
      </c>
      <c r="DF27" s="34" t="s">
        <v>555</v>
      </c>
      <c r="DG27" s="34">
        <v>57</v>
      </c>
      <c r="DH27" s="34">
        <v>71</v>
      </c>
      <c r="DI27" s="34">
        <v>72</v>
      </c>
      <c r="DJ27" s="34">
        <v>1</v>
      </c>
      <c r="DK27" s="34">
        <v>61</v>
      </c>
      <c r="DL27" s="35">
        <f t="shared" si="12"/>
        <v>262</v>
      </c>
    </row>
    <row r="28" spans="10:116" ht="18" x14ac:dyDescent="0.2">
      <c r="J28" s="36">
        <v>40</v>
      </c>
      <c r="K28" s="36" t="s">
        <v>562</v>
      </c>
      <c r="L28" s="36">
        <v>63</v>
      </c>
      <c r="M28" s="36">
        <v>51</v>
      </c>
      <c r="N28" s="36">
        <v>11</v>
      </c>
      <c r="O28" s="36">
        <v>18</v>
      </c>
      <c r="P28" s="36">
        <v>54</v>
      </c>
      <c r="Q28" s="35">
        <f t="shared" si="1"/>
        <v>197</v>
      </c>
      <c r="S28" s="36">
        <v>92</v>
      </c>
      <c r="T28" s="36" t="s">
        <v>563</v>
      </c>
      <c r="U28" s="36">
        <v>83</v>
      </c>
      <c r="V28" s="36">
        <v>25</v>
      </c>
      <c r="W28" s="36">
        <v>34</v>
      </c>
      <c r="X28" s="36">
        <v>85</v>
      </c>
      <c r="Y28" s="36">
        <v>27</v>
      </c>
      <c r="Z28" s="35">
        <f t="shared" si="2"/>
        <v>254</v>
      </c>
      <c r="AB28" s="36">
        <v>144</v>
      </c>
      <c r="AC28" s="36" t="s">
        <v>564</v>
      </c>
      <c r="AD28" s="36">
        <v>16</v>
      </c>
      <c r="AE28" s="36">
        <v>33</v>
      </c>
      <c r="AF28" s="36">
        <v>67</v>
      </c>
      <c r="AG28" s="36">
        <v>49</v>
      </c>
      <c r="AH28" s="36">
        <v>19</v>
      </c>
      <c r="AI28" s="35">
        <f t="shared" si="3"/>
        <v>184</v>
      </c>
      <c r="AK28" s="36">
        <v>196</v>
      </c>
      <c r="AL28" s="36" t="s">
        <v>565</v>
      </c>
      <c r="AM28" s="36">
        <v>86</v>
      </c>
      <c r="AN28" s="36">
        <v>50</v>
      </c>
      <c r="AO28" s="36">
        <v>88</v>
      </c>
      <c r="AP28" s="36">
        <v>32</v>
      </c>
      <c r="AQ28" s="36">
        <v>54</v>
      </c>
      <c r="AR28" s="35">
        <f t="shared" si="4"/>
        <v>310</v>
      </c>
      <c r="AT28" s="36">
        <v>249</v>
      </c>
      <c r="AU28" s="36" t="s">
        <v>566</v>
      </c>
      <c r="AV28" s="36">
        <v>75</v>
      </c>
      <c r="AW28" s="36">
        <v>42</v>
      </c>
      <c r="AX28" s="36">
        <v>80</v>
      </c>
      <c r="AY28" s="36">
        <v>65</v>
      </c>
      <c r="AZ28" s="36">
        <v>43</v>
      </c>
      <c r="BA28" s="35">
        <f t="shared" si="5"/>
        <v>305</v>
      </c>
      <c r="BC28" s="36">
        <v>301</v>
      </c>
      <c r="BD28" s="36" t="s">
        <v>562</v>
      </c>
      <c r="BE28" s="36">
        <v>82</v>
      </c>
      <c r="BF28" s="36">
        <v>22</v>
      </c>
      <c r="BG28" s="36">
        <v>34</v>
      </c>
      <c r="BH28" s="36">
        <v>27</v>
      </c>
      <c r="BI28" s="36">
        <v>24</v>
      </c>
      <c r="BJ28" s="35">
        <f t="shared" si="6"/>
        <v>189</v>
      </c>
      <c r="BL28" s="36">
        <v>353</v>
      </c>
      <c r="BM28" s="36" t="s">
        <v>567</v>
      </c>
      <c r="BN28" s="36">
        <v>32</v>
      </c>
      <c r="BO28" s="36">
        <v>27</v>
      </c>
      <c r="BP28" s="36">
        <v>79</v>
      </c>
      <c r="BQ28" s="36">
        <v>89</v>
      </c>
      <c r="BR28" s="36">
        <v>7</v>
      </c>
      <c r="BS28" s="35">
        <f t="shared" si="7"/>
        <v>234</v>
      </c>
      <c r="BU28" s="36">
        <v>405</v>
      </c>
      <c r="BV28" s="36" t="s">
        <v>563</v>
      </c>
      <c r="BW28" s="36">
        <v>89</v>
      </c>
      <c r="BX28" s="36">
        <v>6</v>
      </c>
      <c r="BY28" s="36">
        <v>60</v>
      </c>
      <c r="BZ28" s="36">
        <v>17</v>
      </c>
      <c r="CA28" s="36">
        <v>52</v>
      </c>
      <c r="CB28" s="35">
        <f t="shared" si="8"/>
        <v>224</v>
      </c>
      <c r="CD28" s="36">
        <v>457</v>
      </c>
      <c r="CE28" s="36" t="s">
        <v>564</v>
      </c>
      <c r="CF28" s="36">
        <v>23</v>
      </c>
      <c r="CG28" s="36">
        <v>8</v>
      </c>
      <c r="CH28" s="36">
        <v>80</v>
      </c>
      <c r="CI28" s="36">
        <v>67</v>
      </c>
      <c r="CJ28" s="36">
        <v>40</v>
      </c>
      <c r="CK28" s="35">
        <f t="shared" si="9"/>
        <v>218</v>
      </c>
      <c r="CM28" s="36">
        <v>509</v>
      </c>
      <c r="CN28" s="36" t="s">
        <v>559</v>
      </c>
      <c r="CO28" s="36">
        <v>52</v>
      </c>
      <c r="CP28" s="36">
        <v>81</v>
      </c>
      <c r="CQ28" s="36">
        <v>6</v>
      </c>
      <c r="CR28" s="36">
        <v>25</v>
      </c>
      <c r="CS28" s="36">
        <v>75</v>
      </c>
      <c r="CT28" s="35">
        <f t="shared" si="10"/>
        <v>239</v>
      </c>
      <c r="CV28" s="36">
        <v>562</v>
      </c>
      <c r="CW28" s="36" t="s">
        <v>568</v>
      </c>
      <c r="CX28" s="36">
        <v>1</v>
      </c>
      <c r="CY28" s="36">
        <v>34</v>
      </c>
      <c r="CZ28" s="36">
        <v>4</v>
      </c>
      <c r="DA28" s="36">
        <v>81</v>
      </c>
      <c r="DB28" s="36">
        <v>71</v>
      </c>
      <c r="DC28" s="35">
        <f t="shared" si="11"/>
        <v>191</v>
      </c>
      <c r="DE28" s="36">
        <v>614</v>
      </c>
      <c r="DF28" s="36" t="s">
        <v>562</v>
      </c>
      <c r="DG28" s="36">
        <v>79</v>
      </c>
      <c r="DH28" s="36">
        <v>69</v>
      </c>
      <c r="DI28" s="36">
        <v>85</v>
      </c>
      <c r="DJ28" s="36">
        <v>19</v>
      </c>
      <c r="DK28" s="36">
        <v>32</v>
      </c>
      <c r="DL28" s="35">
        <f t="shared" si="12"/>
        <v>284</v>
      </c>
    </row>
    <row r="29" spans="10:116" ht="18" x14ac:dyDescent="0.2">
      <c r="J29" s="34">
        <v>41</v>
      </c>
      <c r="K29" s="34" t="s">
        <v>569</v>
      </c>
      <c r="L29" s="34">
        <v>15</v>
      </c>
      <c r="M29" s="34">
        <v>78</v>
      </c>
      <c r="N29" s="34">
        <v>87</v>
      </c>
      <c r="O29" s="34">
        <v>10</v>
      </c>
      <c r="P29" s="34">
        <v>69</v>
      </c>
      <c r="Q29" s="35">
        <f t="shared" si="1"/>
        <v>259</v>
      </c>
      <c r="S29" s="34">
        <v>93</v>
      </c>
      <c r="T29" s="34" t="s">
        <v>570</v>
      </c>
      <c r="U29" s="34">
        <v>40</v>
      </c>
      <c r="V29" s="34">
        <v>74</v>
      </c>
      <c r="W29" s="34">
        <v>67</v>
      </c>
      <c r="X29" s="34">
        <v>41</v>
      </c>
      <c r="Y29" s="34">
        <v>66</v>
      </c>
      <c r="Z29" s="35">
        <f t="shared" si="2"/>
        <v>288</v>
      </c>
      <c r="AB29" s="34">
        <v>145</v>
      </c>
      <c r="AC29" s="34" t="s">
        <v>571</v>
      </c>
      <c r="AD29" s="34">
        <v>23</v>
      </c>
      <c r="AE29" s="34">
        <v>1</v>
      </c>
      <c r="AF29" s="34">
        <v>30</v>
      </c>
      <c r="AG29" s="34">
        <v>24</v>
      </c>
      <c r="AH29" s="34">
        <v>56</v>
      </c>
      <c r="AI29" s="35">
        <f t="shared" si="3"/>
        <v>134</v>
      </c>
      <c r="AK29" s="34">
        <v>197</v>
      </c>
      <c r="AL29" s="34" t="s">
        <v>572</v>
      </c>
      <c r="AM29" s="34">
        <v>78</v>
      </c>
      <c r="AN29" s="34">
        <v>7</v>
      </c>
      <c r="AO29" s="34">
        <v>83</v>
      </c>
      <c r="AP29" s="34">
        <v>64</v>
      </c>
      <c r="AQ29" s="34">
        <v>41</v>
      </c>
      <c r="AR29" s="35">
        <f t="shared" si="4"/>
        <v>273</v>
      </c>
      <c r="AT29" s="34">
        <v>250</v>
      </c>
      <c r="AU29" s="34" t="s">
        <v>573</v>
      </c>
      <c r="AV29" s="34">
        <v>19</v>
      </c>
      <c r="AW29" s="34">
        <v>51</v>
      </c>
      <c r="AX29" s="34">
        <v>53</v>
      </c>
      <c r="AY29" s="34">
        <v>2</v>
      </c>
      <c r="AZ29" s="34">
        <v>27</v>
      </c>
      <c r="BA29" s="35">
        <f t="shared" si="5"/>
        <v>152</v>
      </c>
      <c r="BC29" s="34">
        <v>302</v>
      </c>
      <c r="BD29" s="34" t="s">
        <v>569</v>
      </c>
      <c r="BE29" s="34">
        <v>75</v>
      </c>
      <c r="BF29" s="34">
        <v>29</v>
      </c>
      <c r="BG29" s="34">
        <v>73</v>
      </c>
      <c r="BH29" s="34">
        <v>63</v>
      </c>
      <c r="BI29" s="34">
        <v>23</v>
      </c>
      <c r="BJ29" s="35">
        <f t="shared" si="6"/>
        <v>263</v>
      </c>
      <c r="BL29" s="34">
        <v>354</v>
      </c>
      <c r="BM29" s="34" t="s">
        <v>574</v>
      </c>
      <c r="BN29" s="34">
        <v>43</v>
      </c>
      <c r="BO29" s="34">
        <v>68</v>
      </c>
      <c r="BP29" s="34">
        <v>13</v>
      </c>
      <c r="BQ29" s="34">
        <v>75</v>
      </c>
      <c r="BR29" s="34">
        <v>26</v>
      </c>
      <c r="BS29" s="35">
        <f t="shared" si="7"/>
        <v>225</v>
      </c>
      <c r="BU29" s="34">
        <v>406</v>
      </c>
      <c r="BV29" s="34" t="s">
        <v>570</v>
      </c>
      <c r="BW29" s="34">
        <v>17</v>
      </c>
      <c r="BX29" s="34">
        <v>67</v>
      </c>
      <c r="BY29" s="34">
        <v>28</v>
      </c>
      <c r="BZ29" s="34">
        <v>25</v>
      </c>
      <c r="CA29" s="34">
        <v>81</v>
      </c>
      <c r="CB29" s="35">
        <f t="shared" si="8"/>
        <v>218</v>
      </c>
      <c r="CD29" s="34">
        <v>458</v>
      </c>
      <c r="CE29" s="34" t="s">
        <v>571</v>
      </c>
      <c r="CF29" s="34">
        <v>85</v>
      </c>
      <c r="CG29" s="34">
        <v>90</v>
      </c>
      <c r="CH29" s="34">
        <v>4</v>
      </c>
      <c r="CI29" s="34">
        <v>14</v>
      </c>
      <c r="CJ29" s="34">
        <v>64</v>
      </c>
      <c r="CK29" s="35">
        <f t="shared" si="9"/>
        <v>257</v>
      </c>
      <c r="CM29" s="34">
        <v>510</v>
      </c>
      <c r="CN29" s="34" t="s">
        <v>566</v>
      </c>
      <c r="CO29" s="34">
        <v>86</v>
      </c>
      <c r="CP29" s="34">
        <v>90</v>
      </c>
      <c r="CQ29" s="34">
        <v>9</v>
      </c>
      <c r="CR29" s="34">
        <v>19</v>
      </c>
      <c r="CS29" s="34">
        <v>23</v>
      </c>
      <c r="CT29" s="35">
        <f t="shared" si="10"/>
        <v>227</v>
      </c>
      <c r="CV29" s="34">
        <v>563</v>
      </c>
      <c r="CW29" s="34" t="s">
        <v>575</v>
      </c>
      <c r="CX29" s="34">
        <v>53</v>
      </c>
      <c r="CY29" s="34">
        <v>37</v>
      </c>
      <c r="CZ29" s="34">
        <v>13</v>
      </c>
      <c r="DA29" s="34">
        <v>25</v>
      </c>
      <c r="DB29" s="34">
        <v>48</v>
      </c>
      <c r="DC29" s="35">
        <f t="shared" si="11"/>
        <v>176</v>
      </c>
      <c r="DE29" s="34">
        <v>615</v>
      </c>
      <c r="DF29" s="34" t="s">
        <v>569</v>
      </c>
      <c r="DG29" s="34">
        <v>58</v>
      </c>
      <c r="DH29" s="34">
        <v>50</v>
      </c>
      <c r="DI29" s="34">
        <v>21</v>
      </c>
      <c r="DJ29" s="34">
        <v>66</v>
      </c>
      <c r="DK29" s="34">
        <v>18</v>
      </c>
      <c r="DL29" s="35">
        <f t="shared" si="12"/>
        <v>213</v>
      </c>
    </row>
    <row r="30" spans="10:116" ht="18" x14ac:dyDescent="0.2">
      <c r="J30" s="36">
        <v>42</v>
      </c>
      <c r="K30" s="36" t="s">
        <v>576</v>
      </c>
      <c r="L30" s="36">
        <v>30</v>
      </c>
      <c r="M30" s="36">
        <v>48</v>
      </c>
      <c r="N30" s="36">
        <v>33</v>
      </c>
      <c r="O30" s="36">
        <v>10</v>
      </c>
      <c r="P30" s="36">
        <v>19</v>
      </c>
      <c r="Q30" s="35">
        <f t="shared" si="1"/>
        <v>140</v>
      </c>
      <c r="S30" s="36">
        <v>94</v>
      </c>
      <c r="T30" s="36" t="s">
        <v>577</v>
      </c>
      <c r="U30" s="36">
        <v>72</v>
      </c>
      <c r="V30" s="36">
        <v>68</v>
      </c>
      <c r="W30" s="36">
        <v>36</v>
      </c>
      <c r="X30" s="36">
        <v>53</v>
      </c>
      <c r="Y30" s="36">
        <v>71</v>
      </c>
      <c r="Z30" s="35">
        <f t="shared" si="2"/>
        <v>300</v>
      </c>
      <c r="AB30" s="36">
        <v>146</v>
      </c>
      <c r="AC30" s="36" t="s">
        <v>578</v>
      </c>
      <c r="AD30" s="36">
        <v>41</v>
      </c>
      <c r="AE30" s="36">
        <v>20</v>
      </c>
      <c r="AF30" s="36">
        <v>73</v>
      </c>
      <c r="AG30" s="36">
        <v>27</v>
      </c>
      <c r="AH30" s="36">
        <v>10</v>
      </c>
      <c r="AI30" s="35">
        <f t="shared" si="3"/>
        <v>171</v>
      </c>
      <c r="AK30" s="36">
        <v>198</v>
      </c>
      <c r="AL30" s="36" t="s">
        <v>579</v>
      </c>
      <c r="AM30" s="36">
        <v>11</v>
      </c>
      <c r="AN30" s="36">
        <v>88</v>
      </c>
      <c r="AO30" s="36">
        <v>24</v>
      </c>
      <c r="AP30" s="36">
        <v>82</v>
      </c>
      <c r="AQ30" s="36">
        <v>22</v>
      </c>
      <c r="AR30" s="35">
        <f t="shared" si="4"/>
        <v>227</v>
      </c>
      <c r="AT30" s="36">
        <v>251</v>
      </c>
      <c r="AU30" s="36" t="s">
        <v>580</v>
      </c>
      <c r="AV30" s="36">
        <v>83</v>
      </c>
      <c r="AW30" s="36">
        <v>18</v>
      </c>
      <c r="AX30" s="36">
        <v>5</v>
      </c>
      <c r="AY30" s="36">
        <v>60</v>
      </c>
      <c r="AZ30" s="36">
        <v>56</v>
      </c>
      <c r="BA30" s="35">
        <f t="shared" si="5"/>
        <v>222</v>
      </c>
      <c r="BC30" s="36">
        <v>303</v>
      </c>
      <c r="BD30" s="36" t="s">
        <v>576</v>
      </c>
      <c r="BE30" s="36">
        <v>79</v>
      </c>
      <c r="BF30" s="36">
        <v>65</v>
      </c>
      <c r="BG30" s="36">
        <v>53</v>
      </c>
      <c r="BH30" s="36">
        <v>89</v>
      </c>
      <c r="BI30" s="36">
        <v>82</v>
      </c>
      <c r="BJ30" s="35">
        <f t="shared" si="6"/>
        <v>368</v>
      </c>
      <c r="BL30" s="36">
        <v>355</v>
      </c>
      <c r="BM30" s="36" t="s">
        <v>581</v>
      </c>
      <c r="BN30" s="36">
        <v>54</v>
      </c>
      <c r="BO30" s="36">
        <v>20</v>
      </c>
      <c r="BP30" s="36">
        <v>58</v>
      </c>
      <c r="BQ30" s="36">
        <v>2</v>
      </c>
      <c r="BR30" s="36">
        <v>18</v>
      </c>
      <c r="BS30" s="35">
        <f t="shared" si="7"/>
        <v>152</v>
      </c>
      <c r="BU30" s="36">
        <v>407</v>
      </c>
      <c r="BV30" s="36" t="s">
        <v>577</v>
      </c>
      <c r="BW30" s="36">
        <v>2</v>
      </c>
      <c r="BX30" s="36">
        <v>68</v>
      </c>
      <c r="BY30" s="36">
        <v>72</v>
      </c>
      <c r="BZ30" s="36">
        <v>30</v>
      </c>
      <c r="CA30" s="36">
        <v>40</v>
      </c>
      <c r="CB30" s="35">
        <f t="shared" si="8"/>
        <v>212</v>
      </c>
      <c r="CD30" s="36">
        <v>459</v>
      </c>
      <c r="CE30" s="36" t="s">
        <v>578</v>
      </c>
      <c r="CF30" s="36">
        <v>1</v>
      </c>
      <c r="CG30" s="36">
        <v>35</v>
      </c>
      <c r="CH30" s="36">
        <v>10</v>
      </c>
      <c r="CI30" s="36">
        <v>38</v>
      </c>
      <c r="CJ30" s="36">
        <v>52</v>
      </c>
      <c r="CK30" s="35">
        <f t="shared" si="9"/>
        <v>136</v>
      </c>
      <c r="CM30" s="36">
        <v>511</v>
      </c>
      <c r="CN30" s="36" t="s">
        <v>573</v>
      </c>
      <c r="CO30" s="36">
        <v>26</v>
      </c>
      <c r="CP30" s="36">
        <v>42</v>
      </c>
      <c r="CQ30" s="36">
        <v>40</v>
      </c>
      <c r="CR30" s="36">
        <v>38</v>
      </c>
      <c r="CS30" s="36">
        <v>30</v>
      </c>
      <c r="CT30" s="35">
        <f t="shared" si="10"/>
        <v>176</v>
      </c>
      <c r="CV30" s="36">
        <v>564</v>
      </c>
      <c r="CW30" s="36" t="s">
        <v>582</v>
      </c>
      <c r="CX30" s="36">
        <v>90</v>
      </c>
      <c r="CY30" s="36">
        <v>60</v>
      </c>
      <c r="CZ30" s="36">
        <v>50</v>
      </c>
      <c r="DA30" s="36">
        <v>87</v>
      </c>
      <c r="DB30" s="36">
        <v>15</v>
      </c>
      <c r="DC30" s="35">
        <f t="shared" si="11"/>
        <v>302</v>
      </c>
      <c r="DE30" s="36">
        <v>616</v>
      </c>
      <c r="DF30" s="36" t="s">
        <v>576</v>
      </c>
      <c r="DG30" s="36">
        <v>63</v>
      </c>
      <c r="DH30" s="36">
        <v>64</v>
      </c>
      <c r="DI30" s="36">
        <v>40</v>
      </c>
      <c r="DJ30" s="36">
        <v>44</v>
      </c>
      <c r="DK30" s="36">
        <v>13</v>
      </c>
      <c r="DL30" s="35">
        <f t="shared" si="12"/>
        <v>224</v>
      </c>
    </row>
    <row r="31" spans="10:116" ht="18" x14ac:dyDescent="0.2">
      <c r="J31" s="34">
        <v>43</v>
      </c>
      <c r="K31" s="34" t="s">
        <v>583</v>
      </c>
      <c r="L31" s="34">
        <v>43</v>
      </c>
      <c r="M31" s="34">
        <v>56</v>
      </c>
      <c r="N31" s="34">
        <v>35</v>
      </c>
      <c r="O31" s="34">
        <v>46</v>
      </c>
      <c r="P31" s="34">
        <v>48</v>
      </c>
      <c r="Q31" s="35">
        <f t="shared" si="1"/>
        <v>228</v>
      </c>
      <c r="S31" s="34">
        <v>95</v>
      </c>
      <c r="T31" s="34" t="s">
        <v>584</v>
      </c>
      <c r="U31" s="34">
        <v>76</v>
      </c>
      <c r="V31" s="34">
        <v>36</v>
      </c>
      <c r="W31" s="34">
        <v>5</v>
      </c>
      <c r="X31" s="34">
        <v>79</v>
      </c>
      <c r="Y31" s="34">
        <v>60</v>
      </c>
      <c r="Z31" s="35">
        <f t="shared" si="2"/>
        <v>256</v>
      </c>
      <c r="AB31" s="34">
        <v>147</v>
      </c>
      <c r="AC31" s="34" t="s">
        <v>585</v>
      </c>
      <c r="AD31" s="34">
        <v>49</v>
      </c>
      <c r="AE31" s="34">
        <v>71</v>
      </c>
      <c r="AF31" s="34">
        <v>8</v>
      </c>
      <c r="AG31" s="34">
        <v>67</v>
      </c>
      <c r="AH31" s="34">
        <v>26</v>
      </c>
      <c r="AI31" s="35">
        <f t="shared" si="3"/>
        <v>221</v>
      </c>
      <c r="AK31" s="34">
        <v>199</v>
      </c>
      <c r="AL31" s="34" t="s">
        <v>586</v>
      </c>
      <c r="AM31" s="34">
        <v>69</v>
      </c>
      <c r="AN31" s="34">
        <v>77</v>
      </c>
      <c r="AO31" s="34">
        <v>3</v>
      </c>
      <c r="AP31" s="34">
        <v>20</v>
      </c>
      <c r="AQ31" s="34">
        <v>49</v>
      </c>
      <c r="AR31" s="35">
        <f t="shared" si="4"/>
        <v>218</v>
      </c>
      <c r="AT31" s="34">
        <v>252</v>
      </c>
      <c r="AU31" s="34" t="s">
        <v>587</v>
      </c>
      <c r="AV31" s="34">
        <v>61</v>
      </c>
      <c r="AW31" s="34">
        <v>78</v>
      </c>
      <c r="AX31" s="34">
        <v>35</v>
      </c>
      <c r="AY31" s="34">
        <v>55</v>
      </c>
      <c r="AZ31" s="34">
        <v>33</v>
      </c>
      <c r="BA31" s="35">
        <f t="shared" si="5"/>
        <v>262</v>
      </c>
      <c r="BC31" s="34">
        <v>304</v>
      </c>
      <c r="BD31" s="34" t="s">
        <v>583</v>
      </c>
      <c r="BE31" s="34">
        <v>86</v>
      </c>
      <c r="BF31" s="34">
        <v>67</v>
      </c>
      <c r="BG31" s="34">
        <v>41</v>
      </c>
      <c r="BH31" s="34">
        <v>33</v>
      </c>
      <c r="BI31" s="34">
        <v>38</v>
      </c>
      <c r="BJ31" s="35">
        <f t="shared" si="6"/>
        <v>265</v>
      </c>
      <c r="BL31" s="34">
        <v>356</v>
      </c>
      <c r="BM31" s="34" t="s">
        <v>588</v>
      </c>
      <c r="BN31" s="34">
        <v>28</v>
      </c>
      <c r="BO31" s="34">
        <v>34</v>
      </c>
      <c r="BP31" s="34">
        <v>5</v>
      </c>
      <c r="BQ31" s="34">
        <v>66</v>
      </c>
      <c r="BR31" s="34">
        <v>10</v>
      </c>
      <c r="BS31" s="35">
        <f t="shared" si="7"/>
        <v>143</v>
      </c>
      <c r="BU31" s="34">
        <v>408</v>
      </c>
      <c r="BV31" s="34" t="s">
        <v>584</v>
      </c>
      <c r="BW31" s="34">
        <v>70</v>
      </c>
      <c r="BX31" s="34">
        <v>60</v>
      </c>
      <c r="BY31" s="34">
        <v>54</v>
      </c>
      <c r="BZ31" s="34">
        <v>71</v>
      </c>
      <c r="CA31" s="34">
        <v>22</v>
      </c>
      <c r="CB31" s="35">
        <f t="shared" si="8"/>
        <v>277</v>
      </c>
      <c r="CD31" s="34">
        <v>460</v>
      </c>
      <c r="CE31" s="34" t="s">
        <v>585</v>
      </c>
      <c r="CF31" s="34">
        <v>16</v>
      </c>
      <c r="CG31" s="34">
        <v>57</v>
      </c>
      <c r="CH31" s="34">
        <v>78</v>
      </c>
      <c r="CI31" s="34">
        <v>81</v>
      </c>
      <c r="CJ31" s="34">
        <v>30</v>
      </c>
      <c r="CK31" s="35">
        <f t="shared" si="9"/>
        <v>262</v>
      </c>
      <c r="CM31" s="34">
        <v>512</v>
      </c>
      <c r="CN31" s="34" t="s">
        <v>580</v>
      </c>
      <c r="CO31" s="34">
        <v>29</v>
      </c>
      <c r="CP31" s="34">
        <v>84</v>
      </c>
      <c r="CQ31" s="34">
        <v>74</v>
      </c>
      <c r="CR31" s="34">
        <v>3</v>
      </c>
      <c r="CS31" s="34">
        <v>88</v>
      </c>
      <c r="CT31" s="35">
        <f t="shared" si="10"/>
        <v>278</v>
      </c>
      <c r="CV31" s="34">
        <v>565</v>
      </c>
      <c r="CW31" s="34" t="s">
        <v>589</v>
      </c>
      <c r="CX31" s="34">
        <v>88</v>
      </c>
      <c r="CY31" s="34">
        <v>57</v>
      </c>
      <c r="CZ31" s="34">
        <v>83</v>
      </c>
      <c r="DA31" s="34">
        <v>89</v>
      </c>
      <c r="DB31" s="34">
        <v>75</v>
      </c>
      <c r="DC31" s="35">
        <f t="shared" si="11"/>
        <v>392</v>
      </c>
      <c r="DE31" s="34">
        <v>617</v>
      </c>
      <c r="DF31" s="34" t="s">
        <v>583</v>
      </c>
      <c r="DG31" s="34">
        <v>58</v>
      </c>
      <c r="DH31" s="34">
        <v>79</v>
      </c>
      <c r="DI31" s="34">
        <v>25</v>
      </c>
      <c r="DJ31" s="34">
        <v>21</v>
      </c>
      <c r="DK31" s="34">
        <v>51</v>
      </c>
      <c r="DL31" s="35">
        <f t="shared" si="12"/>
        <v>234</v>
      </c>
    </row>
    <row r="32" spans="10:116" ht="18" x14ac:dyDescent="0.2">
      <c r="J32" s="36">
        <v>44</v>
      </c>
      <c r="K32" s="36" t="s">
        <v>590</v>
      </c>
      <c r="L32" s="36">
        <v>59</v>
      </c>
      <c r="M32" s="36">
        <v>61</v>
      </c>
      <c r="N32" s="36">
        <v>52</v>
      </c>
      <c r="O32" s="36">
        <v>12</v>
      </c>
      <c r="P32" s="36">
        <v>27</v>
      </c>
      <c r="Q32" s="35">
        <f t="shared" si="1"/>
        <v>211</v>
      </c>
      <c r="S32" s="36">
        <v>96</v>
      </c>
      <c r="T32" s="36" t="s">
        <v>591</v>
      </c>
      <c r="U32" s="36">
        <v>65</v>
      </c>
      <c r="V32" s="36">
        <v>82</v>
      </c>
      <c r="W32" s="36">
        <v>79</v>
      </c>
      <c r="X32" s="36">
        <v>81</v>
      </c>
      <c r="Y32" s="36">
        <v>33</v>
      </c>
      <c r="Z32" s="35">
        <f t="shared" si="2"/>
        <v>340</v>
      </c>
      <c r="AB32" s="36">
        <v>148</v>
      </c>
      <c r="AC32" s="36" t="s">
        <v>592</v>
      </c>
      <c r="AD32" s="36">
        <v>9</v>
      </c>
      <c r="AE32" s="36">
        <v>51</v>
      </c>
      <c r="AF32" s="36">
        <v>71</v>
      </c>
      <c r="AG32" s="36">
        <v>22</v>
      </c>
      <c r="AH32" s="36">
        <v>59</v>
      </c>
      <c r="AI32" s="35">
        <f t="shared" si="3"/>
        <v>212</v>
      </c>
      <c r="AK32" s="36">
        <v>200</v>
      </c>
      <c r="AL32" s="36" t="s">
        <v>593</v>
      </c>
      <c r="AM32" s="36">
        <v>89</v>
      </c>
      <c r="AN32" s="36">
        <v>79</v>
      </c>
      <c r="AO32" s="36">
        <v>80</v>
      </c>
      <c r="AP32" s="36">
        <v>39</v>
      </c>
      <c r="AQ32" s="36">
        <v>22</v>
      </c>
      <c r="AR32" s="35">
        <f t="shared" si="4"/>
        <v>309</v>
      </c>
      <c r="AT32" s="36">
        <v>253</v>
      </c>
      <c r="AU32" s="36" t="s">
        <v>594</v>
      </c>
      <c r="AV32" s="36">
        <v>12</v>
      </c>
      <c r="AW32" s="36">
        <v>35</v>
      </c>
      <c r="AX32" s="36">
        <v>87</v>
      </c>
      <c r="AY32" s="36">
        <v>48</v>
      </c>
      <c r="AZ32" s="36">
        <v>50</v>
      </c>
      <c r="BA32" s="35">
        <f t="shared" si="5"/>
        <v>232</v>
      </c>
      <c r="BC32" s="36">
        <v>305</v>
      </c>
      <c r="BD32" s="36" t="s">
        <v>590</v>
      </c>
      <c r="BE32" s="36">
        <v>33</v>
      </c>
      <c r="BF32" s="36">
        <v>37</v>
      </c>
      <c r="BG32" s="36">
        <v>7</v>
      </c>
      <c r="BH32" s="36">
        <v>39</v>
      </c>
      <c r="BI32" s="36">
        <v>1</v>
      </c>
      <c r="BJ32" s="35">
        <f t="shared" si="6"/>
        <v>117</v>
      </c>
      <c r="BL32" s="36">
        <v>357</v>
      </c>
      <c r="BM32" s="36" t="s">
        <v>595</v>
      </c>
      <c r="BN32" s="36">
        <v>86</v>
      </c>
      <c r="BO32" s="36">
        <v>58</v>
      </c>
      <c r="BP32" s="36">
        <v>4</v>
      </c>
      <c r="BQ32" s="36">
        <v>22</v>
      </c>
      <c r="BR32" s="36">
        <v>50</v>
      </c>
      <c r="BS32" s="35">
        <f t="shared" si="7"/>
        <v>220</v>
      </c>
      <c r="BU32" s="36">
        <v>409</v>
      </c>
      <c r="BV32" s="36" t="s">
        <v>591</v>
      </c>
      <c r="BW32" s="36">
        <v>49</v>
      </c>
      <c r="BX32" s="36">
        <v>70</v>
      </c>
      <c r="BY32" s="36">
        <v>55</v>
      </c>
      <c r="BZ32" s="36">
        <v>13</v>
      </c>
      <c r="CA32" s="36">
        <v>5</v>
      </c>
      <c r="CB32" s="35">
        <f t="shared" si="8"/>
        <v>192</v>
      </c>
      <c r="CD32" s="36">
        <v>461</v>
      </c>
      <c r="CE32" s="36" t="s">
        <v>592</v>
      </c>
      <c r="CF32" s="36">
        <v>85</v>
      </c>
      <c r="CG32" s="36">
        <v>1</v>
      </c>
      <c r="CH32" s="36">
        <v>41</v>
      </c>
      <c r="CI32" s="36">
        <v>76</v>
      </c>
      <c r="CJ32" s="36">
        <v>80</v>
      </c>
      <c r="CK32" s="35">
        <f t="shared" si="9"/>
        <v>283</v>
      </c>
      <c r="CM32" s="36">
        <v>513</v>
      </c>
      <c r="CN32" s="36" t="s">
        <v>587</v>
      </c>
      <c r="CO32" s="36">
        <v>76</v>
      </c>
      <c r="CP32" s="36">
        <v>17</v>
      </c>
      <c r="CQ32" s="36">
        <v>58</v>
      </c>
      <c r="CR32" s="36">
        <v>32</v>
      </c>
      <c r="CS32" s="36">
        <v>89</v>
      </c>
      <c r="CT32" s="35">
        <f t="shared" si="10"/>
        <v>272</v>
      </c>
      <c r="CV32" s="36">
        <v>566</v>
      </c>
      <c r="CW32" s="36" t="s">
        <v>596</v>
      </c>
      <c r="CX32" s="36">
        <v>21</v>
      </c>
      <c r="CY32" s="36">
        <v>60</v>
      </c>
      <c r="CZ32" s="36">
        <v>49</v>
      </c>
      <c r="DA32" s="36">
        <v>62</v>
      </c>
      <c r="DB32" s="36">
        <v>52</v>
      </c>
      <c r="DC32" s="35">
        <f t="shared" si="11"/>
        <v>244</v>
      </c>
      <c r="DE32" s="36">
        <v>618</v>
      </c>
      <c r="DF32" s="36" t="s">
        <v>590</v>
      </c>
      <c r="DG32" s="36">
        <v>54</v>
      </c>
      <c r="DH32" s="36">
        <v>7</v>
      </c>
      <c r="DI32" s="36">
        <v>12</v>
      </c>
      <c r="DJ32" s="36">
        <v>8</v>
      </c>
      <c r="DK32" s="36">
        <v>88</v>
      </c>
      <c r="DL32" s="35">
        <f t="shared" si="12"/>
        <v>169</v>
      </c>
    </row>
    <row r="33" spans="10:116" ht="18" x14ac:dyDescent="0.2">
      <c r="J33" s="34">
        <v>45</v>
      </c>
      <c r="K33" s="34" t="s">
        <v>597</v>
      </c>
      <c r="L33" s="34">
        <v>36</v>
      </c>
      <c r="M33" s="34">
        <v>56</v>
      </c>
      <c r="N33" s="34">
        <v>15</v>
      </c>
      <c r="O33" s="34">
        <v>54</v>
      </c>
      <c r="P33" s="34">
        <v>43</v>
      </c>
      <c r="Q33" s="35">
        <f t="shared" si="1"/>
        <v>204</v>
      </c>
      <c r="S33" s="34">
        <v>97</v>
      </c>
      <c r="T33" s="34" t="s">
        <v>598</v>
      </c>
      <c r="U33" s="34">
        <v>14</v>
      </c>
      <c r="V33" s="34">
        <v>47</v>
      </c>
      <c r="W33" s="34">
        <v>2</v>
      </c>
      <c r="X33" s="34">
        <v>22</v>
      </c>
      <c r="Y33" s="34">
        <v>74</v>
      </c>
      <c r="Z33" s="35">
        <f t="shared" si="2"/>
        <v>159</v>
      </c>
      <c r="AB33" s="34">
        <v>149</v>
      </c>
      <c r="AC33" s="34" t="s">
        <v>599</v>
      </c>
      <c r="AD33" s="34">
        <v>57</v>
      </c>
      <c r="AE33" s="34">
        <v>21</v>
      </c>
      <c r="AF33" s="34">
        <v>48</v>
      </c>
      <c r="AG33" s="34">
        <v>41</v>
      </c>
      <c r="AH33" s="34">
        <v>36</v>
      </c>
      <c r="AI33" s="35">
        <f t="shared" si="3"/>
        <v>203</v>
      </c>
      <c r="AK33" s="34">
        <v>201</v>
      </c>
      <c r="AL33" s="34" t="s">
        <v>600</v>
      </c>
      <c r="AM33" s="34">
        <v>72</v>
      </c>
      <c r="AN33" s="34">
        <v>44</v>
      </c>
      <c r="AO33" s="34">
        <v>14</v>
      </c>
      <c r="AP33" s="34">
        <v>51</v>
      </c>
      <c r="AQ33" s="34">
        <v>22</v>
      </c>
      <c r="AR33" s="35">
        <f t="shared" si="4"/>
        <v>203</v>
      </c>
      <c r="AT33" s="34">
        <v>254</v>
      </c>
      <c r="AU33" s="34" t="s">
        <v>601</v>
      </c>
      <c r="AV33" s="34">
        <v>45</v>
      </c>
      <c r="AW33" s="34">
        <v>61</v>
      </c>
      <c r="AX33" s="34">
        <v>13</v>
      </c>
      <c r="AY33" s="34">
        <v>87</v>
      </c>
      <c r="AZ33" s="34">
        <v>16</v>
      </c>
      <c r="BA33" s="35">
        <f t="shared" si="5"/>
        <v>222</v>
      </c>
      <c r="BC33" s="34">
        <v>306</v>
      </c>
      <c r="BD33" s="34" t="s">
        <v>597</v>
      </c>
      <c r="BE33" s="34">
        <v>35</v>
      </c>
      <c r="BF33" s="34">
        <v>50</v>
      </c>
      <c r="BG33" s="34">
        <v>48</v>
      </c>
      <c r="BH33" s="34">
        <v>79</v>
      </c>
      <c r="BI33" s="34">
        <v>13</v>
      </c>
      <c r="BJ33" s="35">
        <f t="shared" si="6"/>
        <v>225</v>
      </c>
      <c r="BL33" s="34">
        <v>358</v>
      </c>
      <c r="BM33" s="34" t="s">
        <v>602</v>
      </c>
      <c r="BN33" s="34">
        <v>24</v>
      </c>
      <c r="BO33" s="34">
        <v>85</v>
      </c>
      <c r="BP33" s="34">
        <v>33</v>
      </c>
      <c r="BQ33" s="34">
        <v>51</v>
      </c>
      <c r="BR33" s="34">
        <v>87</v>
      </c>
      <c r="BS33" s="35">
        <f t="shared" si="7"/>
        <v>280</v>
      </c>
      <c r="BU33" s="34">
        <v>410</v>
      </c>
      <c r="BV33" s="34" t="s">
        <v>598</v>
      </c>
      <c r="BW33" s="34">
        <v>90</v>
      </c>
      <c r="BX33" s="34">
        <v>56</v>
      </c>
      <c r="BY33" s="34">
        <v>19</v>
      </c>
      <c r="BZ33" s="34">
        <v>42</v>
      </c>
      <c r="CA33" s="34">
        <v>15</v>
      </c>
      <c r="CB33" s="35">
        <f t="shared" si="8"/>
        <v>222</v>
      </c>
      <c r="CD33" s="34">
        <v>462</v>
      </c>
      <c r="CE33" s="34" t="s">
        <v>599</v>
      </c>
      <c r="CF33" s="34">
        <v>65</v>
      </c>
      <c r="CG33" s="34">
        <v>52</v>
      </c>
      <c r="CH33" s="34">
        <v>29</v>
      </c>
      <c r="CI33" s="34">
        <v>5</v>
      </c>
      <c r="CJ33" s="34">
        <v>50</v>
      </c>
      <c r="CK33" s="35">
        <f t="shared" si="9"/>
        <v>201</v>
      </c>
      <c r="CM33" s="34">
        <v>514</v>
      </c>
      <c r="CN33" s="34" t="s">
        <v>594</v>
      </c>
      <c r="CO33" s="34">
        <v>57</v>
      </c>
      <c r="CP33" s="34">
        <v>52</v>
      </c>
      <c r="CQ33" s="34">
        <v>7</v>
      </c>
      <c r="CR33" s="34">
        <v>25</v>
      </c>
      <c r="CS33" s="34">
        <v>9</v>
      </c>
      <c r="CT33" s="35">
        <f t="shared" si="10"/>
        <v>150</v>
      </c>
      <c r="CV33" s="34">
        <v>567</v>
      </c>
      <c r="CW33" s="34" t="s">
        <v>603</v>
      </c>
      <c r="CX33" s="34">
        <v>23</v>
      </c>
      <c r="CY33" s="34">
        <v>70</v>
      </c>
      <c r="CZ33" s="34">
        <v>14</v>
      </c>
      <c r="DA33" s="34">
        <v>16</v>
      </c>
      <c r="DB33" s="34">
        <v>22</v>
      </c>
      <c r="DC33" s="35">
        <f t="shared" si="11"/>
        <v>145</v>
      </c>
      <c r="DE33" s="34">
        <v>619</v>
      </c>
      <c r="DF33" s="34" t="s">
        <v>597</v>
      </c>
      <c r="DG33" s="34">
        <v>30</v>
      </c>
      <c r="DH33" s="34">
        <v>23</v>
      </c>
      <c r="DI33" s="34">
        <v>28</v>
      </c>
      <c r="DJ33" s="34">
        <v>56</v>
      </c>
      <c r="DK33" s="34">
        <v>52</v>
      </c>
      <c r="DL33" s="35">
        <f t="shared" si="12"/>
        <v>189</v>
      </c>
    </row>
    <row r="34" spans="10:116" ht="18" x14ac:dyDescent="0.2">
      <c r="J34" s="36">
        <v>46</v>
      </c>
      <c r="K34" s="36" t="s">
        <v>604</v>
      </c>
      <c r="L34" s="36">
        <v>49</v>
      </c>
      <c r="M34" s="36">
        <v>90</v>
      </c>
      <c r="N34" s="36">
        <v>6</v>
      </c>
      <c r="O34" s="36">
        <v>53</v>
      </c>
      <c r="P34" s="36">
        <v>80</v>
      </c>
      <c r="Q34" s="35">
        <f t="shared" si="1"/>
        <v>278</v>
      </c>
      <c r="S34" s="36">
        <v>98</v>
      </c>
      <c r="T34" s="36" t="s">
        <v>605</v>
      </c>
      <c r="U34" s="36">
        <v>17</v>
      </c>
      <c r="V34" s="36">
        <v>86</v>
      </c>
      <c r="W34" s="36">
        <v>88</v>
      </c>
      <c r="X34" s="36">
        <v>24</v>
      </c>
      <c r="Y34" s="36">
        <v>43</v>
      </c>
      <c r="Z34" s="35">
        <f t="shared" si="2"/>
        <v>258</v>
      </c>
      <c r="AB34" s="36">
        <v>150</v>
      </c>
      <c r="AC34" s="36" t="s">
        <v>606</v>
      </c>
      <c r="AD34" s="36">
        <v>4</v>
      </c>
      <c r="AE34" s="36">
        <v>38</v>
      </c>
      <c r="AF34" s="36">
        <v>72</v>
      </c>
      <c r="AG34" s="36">
        <v>84</v>
      </c>
      <c r="AH34" s="36">
        <v>55</v>
      </c>
      <c r="AI34" s="35">
        <f t="shared" si="3"/>
        <v>253</v>
      </c>
      <c r="AK34" s="36">
        <v>202</v>
      </c>
      <c r="AL34" s="36" t="s">
        <v>607</v>
      </c>
      <c r="AM34" s="36">
        <v>25</v>
      </c>
      <c r="AN34" s="36">
        <v>34</v>
      </c>
      <c r="AO34" s="36">
        <v>81</v>
      </c>
      <c r="AP34" s="36">
        <v>58</v>
      </c>
      <c r="AQ34" s="36">
        <v>17</v>
      </c>
      <c r="AR34" s="35">
        <f t="shared" si="4"/>
        <v>215</v>
      </c>
      <c r="AT34" s="36">
        <v>255</v>
      </c>
      <c r="AU34" s="36" t="s">
        <v>608</v>
      </c>
      <c r="AV34" s="36">
        <v>74</v>
      </c>
      <c r="AW34" s="36">
        <v>13</v>
      </c>
      <c r="AX34" s="36">
        <v>33</v>
      </c>
      <c r="AY34" s="36">
        <v>1</v>
      </c>
      <c r="AZ34" s="36">
        <v>18</v>
      </c>
      <c r="BA34" s="35">
        <f t="shared" si="5"/>
        <v>139</v>
      </c>
      <c r="BC34" s="36">
        <v>307</v>
      </c>
      <c r="BD34" s="36" t="s">
        <v>604</v>
      </c>
      <c r="BE34" s="36">
        <v>89</v>
      </c>
      <c r="BF34" s="36">
        <v>81</v>
      </c>
      <c r="BG34" s="36">
        <v>31</v>
      </c>
      <c r="BH34" s="36">
        <v>75</v>
      </c>
      <c r="BI34" s="36">
        <v>42</v>
      </c>
      <c r="BJ34" s="35">
        <f t="shared" si="6"/>
        <v>318</v>
      </c>
      <c r="BL34" s="36">
        <v>359</v>
      </c>
      <c r="BM34" s="36" t="s">
        <v>609</v>
      </c>
      <c r="BN34" s="36">
        <v>63</v>
      </c>
      <c r="BO34" s="36">
        <v>65</v>
      </c>
      <c r="BP34" s="36">
        <v>88</v>
      </c>
      <c r="BQ34" s="36">
        <v>20</v>
      </c>
      <c r="BR34" s="36">
        <v>8</v>
      </c>
      <c r="BS34" s="35">
        <f t="shared" si="7"/>
        <v>244</v>
      </c>
      <c r="BU34" s="36">
        <v>411</v>
      </c>
      <c r="BV34" s="36" t="s">
        <v>605</v>
      </c>
      <c r="BW34" s="36">
        <v>14</v>
      </c>
      <c r="BX34" s="36">
        <v>41</v>
      </c>
      <c r="BY34" s="36">
        <v>40</v>
      </c>
      <c r="BZ34" s="36">
        <v>31</v>
      </c>
      <c r="CA34" s="36">
        <v>47</v>
      </c>
      <c r="CB34" s="35">
        <f t="shared" si="8"/>
        <v>173</v>
      </c>
      <c r="CD34" s="36">
        <v>463</v>
      </c>
      <c r="CE34" s="36" t="s">
        <v>606</v>
      </c>
      <c r="CF34" s="36">
        <v>2</v>
      </c>
      <c r="CG34" s="36">
        <v>37</v>
      </c>
      <c r="CH34" s="36">
        <v>30</v>
      </c>
      <c r="CI34" s="36">
        <v>81</v>
      </c>
      <c r="CJ34" s="36">
        <v>29</v>
      </c>
      <c r="CK34" s="35">
        <f t="shared" si="9"/>
        <v>179</v>
      </c>
      <c r="CM34" s="36">
        <v>515</v>
      </c>
      <c r="CN34" s="36" t="s">
        <v>601</v>
      </c>
      <c r="CO34" s="36">
        <v>78</v>
      </c>
      <c r="CP34" s="36">
        <v>41</v>
      </c>
      <c r="CQ34" s="36">
        <v>74</v>
      </c>
      <c r="CR34" s="36">
        <v>10</v>
      </c>
      <c r="CS34" s="36">
        <v>11</v>
      </c>
      <c r="CT34" s="35">
        <f t="shared" si="10"/>
        <v>214</v>
      </c>
      <c r="CV34" s="36">
        <v>568</v>
      </c>
      <c r="CW34" s="36" t="s">
        <v>610</v>
      </c>
      <c r="CX34" s="36">
        <v>71</v>
      </c>
      <c r="CY34" s="36">
        <v>21</v>
      </c>
      <c r="CZ34" s="36">
        <v>70</v>
      </c>
      <c r="DA34" s="36">
        <v>36</v>
      </c>
      <c r="DB34" s="36">
        <v>23</v>
      </c>
      <c r="DC34" s="35">
        <f t="shared" si="11"/>
        <v>221</v>
      </c>
      <c r="DE34" s="36">
        <v>620</v>
      </c>
      <c r="DF34" s="36" t="s">
        <v>604</v>
      </c>
      <c r="DG34" s="36">
        <v>24</v>
      </c>
      <c r="DH34" s="36">
        <v>41</v>
      </c>
      <c r="DI34" s="36">
        <v>31</v>
      </c>
      <c r="DJ34" s="36">
        <v>76</v>
      </c>
      <c r="DK34" s="36">
        <v>23</v>
      </c>
      <c r="DL34" s="35">
        <f t="shared" si="12"/>
        <v>195</v>
      </c>
    </row>
    <row r="35" spans="10:116" ht="18" x14ac:dyDescent="0.2">
      <c r="J35" s="34">
        <v>47</v>
      </c>
      <c r="K35" s="34" t="s">
        <v>611</v>
      </c>
      <c r="L35" s="34">
        <v>82</v>
      </c>
      <c r="M35" s="34">
        <v>30</v>
      </c>
      <c r="N35" s="34">
        <v>65</v>
      </c>
      <c r="O35" s="34">
        <v>90</v>
      </c>
      <c r="P35" s="34">
        <v>56</v>
      </c>
      <c r="Q35" s="35">
        <f t="shared" si="1"/>
        <v>323</v>
      </c>
      <c r="S35" s="34">
        <v>99</v>
      </c>
      <c r="T35" s="34" t="s">
        <v>612</v>
      </c>
      <c r="U35" s="34">
        <v>44</v>
      </c>
      <c r="V35" s="34">
        <v>88</v>
      </c>
      <c r="W35" s="34">
        <v>79</v>
      </c>
      <c r="X35" s="34">
        <v>20</v>
      </c>
      <c r="Y35" s="34">
        <v>89</v>
      </c>
      <c r="Z35" s="35">
        <f t="shared" si="2"/>
        <v>320</v>
      </c>
      <c r="AB35" s="34">
        <v>151</v>
      </c>
      <c r="AC35" s="34" t="s">
        <v>613</v>
      </c>
      <c r="AD35" s="34">
        <v>58</v>
      </c>
      <c r="AE35" s="34">
        <v>76</v>
      </c>
      <c r="AF35" s="34">
        <v>19</v>
      </c>
      <c r="AG35" s="34">
        <v>52</v>
      </c>
      <c r="AH35" s="34">
        <v>27</v>
      </c>
      <c r="AI35" s="35">
        <f t="shared" si="3"/>
        <v>232</v>
      </c>
      <c r="AK35" s="34">
        <v>203</v>
      </c>
      <c r="AL35" s="34" t="s">
        <v>614</v>
      </c>
      <c r="AM35" s="34">
        <v>9</v>
      </c>
      <c r="AN35" s="34">
        <v>84</v>
      </c>
      <c r="AO35" s="34">
        <v>53</v>
      </c>
      <c r="AP35" s="34">
        <v>60</v>
      </c>
      <c r="AQ35" s="34">
        <v>1</v>
      </c>
      <c r="AR35" s="35">
        <f t="shared" si="4"/>
        <v>207</v>
      </c>
      <c r="AT35" s="34">
        <v>256</v>
      </c>
      <c r="AU35" s="34" t="s">
        <v>615</v>
      </c>
      <c r="AV35" s="34">
        <v>75</v>
      </c>
      <c r="AW35" s="34">
        <v>27</v>
      </c>
      <c r="AX35" s="34">
        <v>19</v>
      </c>
      <c r="AY35" s="34">
        <v>52</v>
      </c>
      <c r="AZ35" s="34">
        <v>6</v>
      </c>
      <c r="BA35" s="35">
        <f t="shared" si="5"/>
        <v>179</v>
      </c>
      <c r="BC35" s="34">
        <v>308</v>
      </c>
      <c r="BD35" s="34" t="s">
        <v>611</v>
      </c>
      <c r="BE35" s="34">
        <v>68</v>
      </c>
      <c r="BF35" s="34">
        <v>89</v>
      </c>
      <c r="BG35" s="34">
        <v>42</v>
      </c>
      <c r="BH35" s="34">
        <v>16</v>
      </c>
      <c r="BI35" s="34">
        <v>81</v>
      </c>
      <c r="BJ35" s="35">
        <f t="shared" si="6"/>
        <v>296</v>
      </c>
      <c r="BL35" s="34">
        <v>360</v>
      </c>
      <c r="BM35" s="34" t="s">
        <v>616</v>
      </c>
      <c r="BN35" s="34">
        <v>22</v>
      </c>
      <c r="BO35" s="34">
        <v>81</v>
      </c>
      <c r="BP35" s="34">
        <v>88</v>
      </c>
      <c r="BQ35" s="34">
        <v>72</v>
      </c>
      <c r="BR35" s="34">
        <v>29</v>
      </c>
      <c r="BS35" s="35">
        <f t="shared" si="7"/>
        <v>292</v>
      </c>
      <c r="BU35" s="34">
        <v>412</v>
      </c>
      <c r="BV35" s="34" t="s">
        <v>612</v>
      </c>
      <c r="BW35" s="34">
        <v>83</v>
      </c>
      <c r="BX35" s="34">
        <v>32</v>
      </c>
      <c r="BY35" s="34">
        <v>85</v>
      </c>
      <c r="BZ35" s="34">
        <v>63</v>
      </c>
      <c r="CA35" s="34">
        <v>43</v>
      </c>
      <c r="CB35" s="35">
        <f t="shared" si="8"/>
        <v>306</v>
      </c>
      <c r="CD35" s="34">
        <v>464</v>
      </c>
      <c r="CE35" s="34" t="s">
        <v>613</v>
      </c>
      <c r="CF35" s="34">
        <v>78</v>
      </c>
      <c r="CG35" s="34">
        <v>84</v>
      </c>
      <c r="CH35" s="34">
        <v>51</v>
      </c>
      <c r="CI35" s="34">
        <v>32</v>
      </c>
      <c r="CJ35" s="34">
        <v>13</v>
      </c>
      <c r="CK35" s="35">
        <f t="shared" si="9"/>
        <v>258</v>
      </c>
      <c r="CM35" s="34">
        <v>516</v>
      </c>
      <c r="CN35" s="34" t="s">
        <v>608</v>
      </c>
      <c r="CO35" s="34">
        <v>25</v>
      </c>
      <c r="CP35" s="34">
        <v>26</v>
      </c>
      <c r="CQ35" s="34">
        <v>58</v>
      </c>
      <c r="CR35" s="34">
        <v>6</v>
      </c>
      <c r="CS35" s="34">
        <v>88</v>
      </c>
      <c r="CT35" s="35">
        <f t="shared" si="10"/>
        <v>203</v>
      </c>
      <c r="CV35" s="34">
        <v>569</v>
      </c>
      <c r="CW35" s="34" t="s">
        <v>617</v>
      </c>
      <c r="CX35" s="34">
        <v>65</v>
      </c>
      <c r="CY35" s="34">
        <v>52</v>
      </c>
      <c r="CZ35" s="34">
        <v>15</v>
      </c>
      <c r="DA35" s="34">
        <v>6</v>
      </c>
      <c r="DB35" s="34">
        <v>46</v>
      </c>
      <c r="DC35" s="35">
        <f t="shared" si="11"/>
        <v>184</v>
      </c>
      <c r="DE35" s="34">
        <v>621</v>
      </c>
      <c r="DF35" s="34" t="s">
        <v>611</v>
      </c>
      <c r="DG35" s="34">
        <v>70</v>
      </c>
      <c r="DH35" s="34">
        <v>21</v>
      </c>
      <c r="DI35" s="34">
        <v>80</v>
      </c>
      <c r="DJ35" s="34">
        <v>25</v>
      </c>
      <c r="DK35" s="34">
        <v>35</v>
      </c>
      <c r="DL35" s="35">
        <f t="shared" si="12"/>
        <v>231</v>
      </c>
    </row>
    <row r="36" spans="10:116" ht="18" x14ac:dyDescent="0.2">
      <c r="J36" s="36">
        <v>48</v>
      </c>
      <c r="K36" s="36" t="s">
        <v>618</v>
      </c>
      <c r="L36" s="36">
        <v>73</v>
      </c>
      <c r="M36" s="36">
        <v>75</v>
      </c>
      <c r="N36" s="36">
        <v>53</v>
      </c>
      <c r="O36" s="36">
        <v>43</v>
      </c>
      <c r="P36" s="36">
        <v>41</v>
      </c>
      <c r="Q36" s="35">
        <f t="shared" si="1"/>
        <v>285</v>
      </c>
      <c r="S36" s="36">
        <v>100</v>
      </c>
      <c r="T36" s="36" t="s">
        <v>619</v>
      </c>
      <c r="U36" s="36">
        <v>85</v>
      </c>
      <c r="V36" s="36">
        <v>14</v>
      </c>
      <c r="W36" s="36">
        <v>28</v>
      </c>
      <c r="X36" s="36">
        <v>62</v>
      </c>
      <c r="Y36" s="36">
        <v>69</v>
      </c>
      <c r="Z36" s="35">
        <f t="shared" si="2"/>
        <v>258</v>
      </c>
      <c r="AB36" s="36">
        <v>152</v>
      </c>
      <c r="AC36" s="36" t="s">
        <v>620</v>
      </c>
      <c r="AD36" s="36">
        <v>19</v>
      </c>
      <c r="AE36" s="36">
        <v>6</v>
      </c>
      <c r="AF36" s="36">
        <v>52</v>
      </c>
      <c r="AG36" s="36">
        <v>26</v>
      </c>
      <c r="AH36" s="36">
        <v>20</v>
      </c>
      <c r="AI36" s="35">
        <f t="shared" si="3"/>
        <v>123</v>
      </c>
      <c r="AK36" s="36">
        <v>204</v>
      </c>
      <c r="AL36" s="36" t="s">
        <v>621</v>
      </c>
      <c r="AM36" s="36">
        <v>82</v>
      </c>
      <c r="AN36" s="36">
        <v>88</v>
      </c>
      <c r="AO36" s="36">
        <v>12</v>
      </c>
      <c r="AP36" s="36">
        <v>37</v>
      </c>
      <c r="AQ36" s="36">
        <v>53</v>
      </c>
      <c r="AR36" s="35">
        <f t="shared" si="4"/>
        <v>272</v>
      </c>
      <c r="AT36" s="36">
        <v>257</v>
      </c>
      <c r="AU36" s="36" t="s">
        <v>622</v>
      </c>
      <c r="AV36" s="36">
        <v>21</v>
      </c>
      <c r="AW36" s="36">
        <v>87</v>
      </c>
      <c r="AX36" s="36">
        <v>25</v>
      </c>
      <c r="AY36" s="36">
        <v>74</v>
      </c>
      <c r="AZ36" s="36">
        <v>2</v>
      </c>
      <c r="BA36" s="35">
        <f t="shared" si="5"/>
        <v>209</v>
      </c>
      <c r="BC36" s="36">
        <v>309</v>
      </c>
      <c r="BD36" s="36" t="s">
        <v>618</v>
      </c>
      <c r="BE36" s="36">
        <v>35</v>
      </c>
      <c r="BF36" s="36">
        <v>55</v>
      </c>
      <c r="BG36" s="36">
        <v>29</v>
      </c>
      <c r="BH36" s="36">
        <v>12</v>
      </c>
      <c r="BI36" s="36">
        <v>70</v>
      </c>
      <c r="BJ36" s="35">
        <f t="shared" si="6"/>
        <v>201</v>
      </c>
      <c r="BL36" s="36">
        <v>361</v>
      </c>
      <c r="BM36" s="36" t="s">
        <v>623</v>
      </c>
      <c r="BN36" s="36">
        <v>5</v>
      </c>
      <c r="BO36" s="36">
        <v>45</v>
      </c>
      <c r="BP36" s="36">
        <v>16</v>
      </c>
      <c r="BQ36" s="36">
        <v>52</v>
      </c>
      <c r="BR36" s="36">
        <v>85</v>
      </c>
      <c r="BS36" s="35">
        <f t="shared" si="7"/>
        <v>203</v>
      </c>
      <c r="BU36" s="36">
        <v>413</v>
      </c>
      <c r="BV36" s="36" t="s">
        <v>619</v>
      </c>
      <c r="BW36" s="36">
        <v>70</v>
      </c>
      <c r="BX36" s="36">
        <v>9</v>
      </c>
      <c r="BY36" s="36">
        <v>39</v>
      </c>
      <c r="BZ36" s="36">
        <v>12</v>
      </c>
      <c r="CA36" s="36">
        <v>2</v>
      </c>
      <c r="CB36" s="35">
        <f t="shared" si="8"/>
        <v>132</v>
      </c>
      <c r="CD36" s="36">
        <v>465</v>
      </c>
      <c r="CE36" s="36" t="s">
        <v>620</v>
      </c>
      <c r="CF36" s="36">
        <v>49</v>
      </c>
      <c r="CG36" s="36">
        <v>36</v>
      </c>
      <c r="CH36" s="36">
        <v>31</v>
      </c>
      <c r="CI36" s="36">
        <v>22</v>
      </c>
      <c r="CJ36" s="36">
        <v>15</v>
      </c>
      <c r="CK36" s="35">
        <f t="shared" si="9"/>
        <v>153</v>
      </c>
      <c r="CM36" s="36">
        <v>517</v>
      </c>
      <c r="CN36" s="36" t="s">
        <v>615</v>
      </c>
      <c r="CO36" s="36">
        <v>47</v>
      </c>
      <c r="CP36" s="36">
        <v>31</v>
      </c>
      <c r="CQ36" s="36">
        <v>59</v>
      </c>
      <c r="CR36" s="36">
        <v>82</v>
      </c>
      <c r="CS36" s="36">
        <v>67</v>
      </c>
      <c r="CT36" s="35">
        <f t="shared" si="10"/>
        <v>286</v>
      </c>
      <c r="CV36" s="36">
        <v>570</v>
      </c>
      <c r="CW36" s="36" t="s">
        <v>624</v>
      </c>
      <c r="CX36" s="36">
        <v>1</v>
      </c>
      <c r="CY36" s="36">
        <v>32</v>
      </c>
      <c r="CZ36" s="36">
        <v>74</v>
      </c>
      <c r="DA36" s="36">
        <v>87</v>
      </c>
      <c r="DB36" s="36">
        <v>47</v>
      </c>
      <c r="DC36" s="35">
        <f t="shared" si="11"/>
        <v>241</v>
      </c>
      <c r="DE36" s="36">
        <v>622</v>
      </c>
      <c r="DF36" s="36" t="s">
        <v>618</v>
      </c>
      <c r="DG36" s="36">
        <v>15</v>
      </c>
      <c r="DH36" s="36">
        <v>60</v>
      </c>
      <c r="DI36" s="36">
        <v>67</v>
      </c>
      <c r="DJ36" s="36">
        <v>40</v>
      </c>
      <c r="DK36" s="36">
        <v>49</v>
      </c>
      <c r="DL36" s="35">
        <f t="shared" si="12"/>
        <v>231</v>
      </c>
    </row>
    <row r="37" spans="10:116" ht="18" x14ac:dyDescent="0.2">
      <c r="J37" s="34">
        <v>49</v>
      </c>
      <c r="K37" s="34" t="s">
        <v>625</v>
      </c>
      <c r="L37" s="34">
        <v>16</v>
      </c>
      <c r="M37" s="34">
        <v>87</v>
      </c>
      <c r="N37" s="34">
        <v>85</v>
      </c>
      <c r="O37" s="34">
        <v>75</v>
      </c>
      <c r="P37" s="34">
        <v>53</v>
      </c>
      <c r="Q37" s="35">
        <f t="shared" si="1"/>
        <v>316</v>
      </c>
      <c r="S37" s="34">
        <v>101</v>
      </c>
      <c r="T37" s="34" t="s">
        <v>626</v>
      </c>
      <c r="U37" s="34">
        <v>5</v>
      </c>
      <c r="V37" s="34">
        <v>40</v>
      </c>
      <c r="W37" s="34">
        <v>55</v>
      </c>
      <c r="X37" s="34">
        <v>74</v>
      </c>
      <c r="Y37" s="34">
        <v>27</v>
      </c>
      <c r="Z37" s="35">
        <f t="shared" si="2"/>
        <v>201</v>
      </c>
      <c r="AB37" s="34">
        <v>153</v>
      </c>
      <c r="AC37" s="34" t="s">
        <v>627</v>
      </c>
      <c r="AD37" s="34">
        <v>66</v>
      </c>
      <c r="AE37" s="34">
        <v>82</v>
      </c>
      <c r="AF37" s="34">
        <v>61</v>
      </c>
      <c r="AG37" s="34">
        <v>85</v>
      </c>
      <c r="AH37" s="34">
        <v>4</v>
      </c>
      <c r="AI37" s="35">
        <f t="shared" si="3"/>
        <v>298</v>
      </c>
      <c r="AK37" s="34">
        <v>205</v>
      </c>
      <c r="AL37" s="34" t="s">
        <v>628</v>
      </c>
      <c r="AM37" s="34">
        <v>70</v>
      </c>
      <c r="AN37" s="34">
        <v>64</v>
      </c>
      <c r="AO37" s="34">
        <v>60</v>
      </c>
      <c r="AP37" s="34">
        <v>9</v>
      </c>
      <c r="AQ37" s="34">
        <v>69</v>
      </c>
      <c r="AR37" s="35">
        <f t="shared" si="4"/>
        <v>272</v>
      </c>
      <c r="AT37" s="34">
        <v>258</v>
      </c>
      <c r="AU37" s="34" t="s">
        <v>629</v>
      </c>
      <c r="AV37" s="34">
        <v>55</v>
      </c>
      <c r="AW37" s="34">
        <v>2</v>
      </c>
      <c r="AX37" s="34">
        <v>52</v>
      </c>
      <c r="AY37" s="34">
        <v>19</v>
      </c>
      <c r="AZ37" s="34">
        <v>77</v>
      </c>
      <c r="BA37" s="35">
        <f t="shared" si="5"/>
        <v>205</v>
      </c>
      <c r="BC37" s="34">
        <v>310</v>
      </c>
      <c r="BD37" s="34" t="s">
        <v>625</v>
      </c>
      <c r="BE37" s="34">
        <v>82</v>
      </c>
      <c r="BF37" s="34">
        <v>88</v>
      </c>
      <c r="BG37" s="34">
        <v>13</v>
      </c>
      <c r="BH37" s="34">
        <v>37</v>
      </c>
      <c r="BI37" s="34">
        <v>51</v>
      </c>
      <c r="BJ37" s="35">
        <f t="shared" si="6"/>
        <v>271</v>
      </c>
      <c r="BL37" s="34">
        <v>362</v>
      </c>
      <c r="BM37" s="34" t="s">
        <v>630</v>
      </c>
      <c r="BN37" s="34">
        <v>71</v>
      </c>
      <c r="BO37" s="34">
        <v>81</v>
      </c>
      <c r="BP37" s="34">
        <v>42</v>
      </c>
      <c r="BQ37" s="34">
        <v>51</v>
      </c>
      <c r="BR37" s="34">
        <v>21</v>
      </c>
      <c r="BS37" s="35">
        <f t="shared" si="7"/>
        <v>266</v>
      </c>
      <c r="BU37" s="34">
        <v>414</v>
      </c>
      <c r="BV37" s="34" t="s">
        <v>626</v>
      </c>
      <c r="BW37" s="34">
        <v>89</v>
      </c>
      <c r="BX37" s="34">
        <v>49</v>
      </c>
      <c r="BY37" s="34">
        <v>39</v>
      </c>
      <c r="BZ37" s="34">
        <v>68</v>
      </c>
      <c r="CA37" s="34">
        <v>4</v>
      </c>
      <c r="CB37" s="35">
        <f t="shared" si="8"/>
        <v>249</v>
      </c>
      <c r="CD37" s="34">
        <v>466</v>
      </c>
      <c r="CE37" s="34" t="s">
        <v>627</v>
      </c>
      <c r="CF37" s="34">
        <v>45</v>
      </c>
      <c r="CG37" s="34">
        <v>37</v>
      </c>
      <c r="CH37" s="34">
        <v>26</v>
      </c>
      <c r="CI37" s="34">
        <v>47</v>
      </c>
      <c r="CJ37" s="34">
        <v>14</v>
      </c>
      <c r="CK37" s="35">
        <f t="shared" si="9"/>
        <v>169</v>
      </c>
      <c r="CM37" s="34">
        <v>518</v>
      </c>
      <c r="CN37" s="34" t="s">
        <v>622</v>
      </c>
      <c r="CO37" s="34">
        <v>26</v>
      </c>
      <c r="CP37" s="34">
        <v>32</v>
      </c>
      <c r="CQ37" s="34">
        <v>35</v>
      </c>
      <c r="CR37" s="34">
        <v>39</v>
      </c>
      <c r="CS37" s="34">
        <v>86</v>
      </c>
      <c r="CT37" s="35">
        <f t="shared" si="10"/>
        <v>218</v>
      </c>
      <c r="CV37" s="34">
        <v>571</v>
      </c>
      <c r="CW37" s="34" t="s">
        <v>631</v>
      </c>
      <c r="CX37" s="34">
        <v>5</v>
      </c>
      <c r="CY37" s="34">
        <v>72</v>
      </c>
      <c r="CZ37" s="34">
        <v>11</v>
      </c>
      <c r="DA37" s="34">
        <v>75</v>
      </c>
      <c r="DB37" s="34">
        <v>63</v>
      </c>
      <c r="DC37" s="35">
        <f t="shared" si="11"/>
        <v>226</v>
      </c>
      <c r="DE37" s="34">
        <v>623</v>
      </c>
      <c r="DF37" s="34" t="s">
        <v>625</v>
      </c>
      <c r="DG37" s="34">
        <v>63</v>
      </c>
      <c r="DH37" s="34">
        <v>32</v>
      </c>
      <c r="DI37" s="34">
        <v>72</v>
      </c>
      <c r="DJ37" s="34">
        <v>14</v>
      </c>
      <c r="DK37" s="34">
        <v>24</v>
      </c>
      <c r="DL37" s="35">
        <f t="shared" si="12"/>
        <v>205</v>
      </c>
    </row>
    <row r="38" spans="10:116" ht="18" x14ac:dyDescent="0.2">
      <c r="J38" s="36">
        <v>50</v>
      </c>
      <c r="K38" s="36" t="s">
        <v>632</v>
      </c>
      <c r="L38" s="36">
        <v>29</v>
      </c>
      <c r="M38" s="36">
        <v>13</v>
      </c>
      <c r="N38" s="36">
        <v>36</v>
      </c>
      <c r="O38" s="36">
        <v>21</v>
      </c>
      <c r="P38" s="36">
        <v>55</v>
      </c>
      <c r="Q38" s="35">
        <f t="shared" si="1"/>
        <v>154</v>
      </c>
      <c r="S38" s="36">
        <v>102</v>
      </c>
      <c r="T38" s="36" t="s">
        <v>633</v>
      </c>
      <c r="U38" s="36">
        <v>44</v>
      </c>
      <c r="V38" s="36">
        <v>51</v>
      </c>
      <c r="W38" s="36">
        <v>28</v>
      </c>
      <c r="X38" s="36">
        <v>21</v>
      </c>
      <c r="Y38" s="36">
        <v>12</v>
      </c>
      <c r="Z38" s="35">
        <f t="shared" si="2"/>
        <v>156</v>
      </c>
      <c r="AB38" s="36">
        <v>154</v>
      </c>
      <c r="AC38" s="36" t="s">
        <v>634</v>
      </c>
      <c r="AD38" s="36">
        <v>26</v>
      </c>
      <c r="AE38" s="36">
        <v>23</v>
      </c>
      <c r="AF38" s="36">
        <v>21</v>
      </c>
      <c r="AG38" s="36">
        <v>29</v>
      </c>
      <c r="AH38" s="36">
        <v>33</v>
      </c>
      <c r="AI38" s="35">
        <f t="shared" si="3"/>
        <v>132</v>
      </c>
      <c r="AK38" s="36">
        <v>206</v>
      </c>
      <c r="AL38" s="36" t="s">
        <v>635</v>
      </c>
      <c r="AM38" s="36">
        <v>85</v>
      </c>
      <c r="AN38" s="36">
        <v>29</v>
      </c>
      <c r="AO38" s="36">
        <v>17</v>
      </c>
      <c r="AP38" s="36">
        <v>82</v>
      </c>
      <c r="AQ38" s="36">
        <v>87</v>
      </c>
      <c r="AR38" s="35">
        <f t="shared" si="4"/>
        <v>300</v>
      </c>
      <c r="AT38" s="36">
        <v>259</v>
      </c>
      <c r="AU38" s="36" t="s">
        <v>636</v>
      </c>
      <c r="AV38" s="36">
        <v>73</v>
      </c>
      <c r="AW38" s="36">
        <v>80</v>
      </c>
      <c r="AX38" s="36">
        <v>85</v>
      </c>
      <c r="AY38" s="36">
        <v>86</v>
      </c>
      <c r="AZ38" s="36">
        <v>64</v>
      </c>
      <c r="BA38" s="35">
        <f t="shared" si="5"/>
        <v>388</v>
      </c>
      <c r="BC38" s="36">
        <v>311</v>
      </c>
      <c r="BD38" s="36" t="s">
        <v>632</v>
      </c>
      <c r="BE38" s="36">
        <v>33</v>
      </c>
      <c r="BF38" s="36">
        <v>80</v>
      </c>
      <c r="BG38" s="36">
        <v>72</v>
      </c>
      <c r="BH38" s="36">
        <v>53</v>
      </c>
      <c r="BI38" s="36">
        <v>48</v>
      </c>
      <c r="BJ38" s="35">
        <f t="shared" si="6"/>
        <v>286</v>
      </c>
      <c r="BL38" s="36">
        <v>363</v>
      </c>
      <c r="BM38" s="36" t="s">
        <v>637</v>
      </c>
      <c r="BN38" s="36">
        <v>83</v>
      </c>
      <c r="BO38" s="36">
        <v>31</v>
      </c>
      <c r="BP38" s="36">
        <v>23</v>
      </c>
      <c r="BQ38" s="36">
        <v>6</v>
      </c>
      <c r="BR38" s="36">
        <v>67</v>
      </c>
      <c r="BS38" s="35">
        <f t="shared" si="7"/>
        <v>210</v>
      </c>
      <c r="BU38" s="36">
        <v>415</v>
      </c>
      <c r="BV38" s="36" t="s">
        <v>633</v>
      </c>
      <c r="BW38" s="36">
        <v>69</v>
      </c>
      <c r="BX38" s="36">
        <v>9</v>
      </c>
      <c r="BY38" s="36">
        <v>43</v>
      </c>
      <c r="BZ38" s="36">
        <v>28</v>
      </c>
      <c r="CA38" s="36">
        <v>17</v>
      </c>
      <c r="CB38" s="35">
        <f t="shared" si="8"/>
        <v>166</v>
      </c>
      <c r="CD38" s="36">
        <v>467</v>
      </c>
      <c r="CE38" s="36" t="s">
        <v>634</v>
      </c>
      <c r="CF38" s="36">
        <v>76</v>
      </c>
      <c r="CG38" s="36">
        <v>53</v>
      </c>
      <c r="CH38" s="36">
        <v>86</v>
      </c>
      <c r="CI38" s="36">
        <v>51</v>
      </c>
      <c r="CJ38" s="36">
        <v>2</v>
      </c>
      <c r="CK38" s="35">
        <f t="shared" si="9"/>
        <v>268</v>
      </c>
      <c r="CM38" s="36">
        <v>519</v>
      </c>
      <c r="CN38" s="36" t="s">
        <v>629</v>
      </c>
      <c r="CO38" s="36">
        <v>74</v>
      </c>
      <c r="CP38" s="36">
        <v>17</v>
      </c>
      <c r="CQ38" s="36">
        <v>4</v>
      </c>
      <c r="CR38" s="36">
        <v>88</v>
      </c>
      <c r="CS38" s="36">
        <v>53</v>
      </c>
      <c r="CT38" s="35">
        <f t="shared" si="10"/>
        <v>236</v>
      </c>
      <c r="CV38" s="36">
        <v>572</v>
      </c>
      <c r="CW38" s="36" t="s">
        <v>638</v>
      </c>
      <c r="CX38" s="36">
        <v>39</v>
      </c>
      <c r="CY38" s="36">
        <v>54</v>
      </c>
      <c r="CZ38" s="36">
        <v>23</v>
      </c>
      <c r="DA38" s="36">
        <v>61</v>
      </c>
      <c r="DB38" s="36">
        <v>34</v>
      </c>
      <c r="DC38" s="35">
        <f t="shared" si="11"/>
        <v>211</v>
      </c>
      <c r="DE38" s="36">
        <v>624</v>
      </c>
      <c r="DF38" s="36" t="s">
        <v>632</v>
      </c>
      <c r="DG38" s="36">
        <v>40</v>
      </c>
      <c r="DH38" s="36">
        <v>14</v>
      </c>
      <c r="DI38" s="36">
        <v>7</v>
      </c>
      <c r="DJ38" s="36">
        <v>10</v>
      </c>
      <c r="DK38" s="36">
        <v>81</v>
      </c>
      <c r="DL38" s="35">
        <f t="shared" si="12"/>
        <v>152</v>
      </c>
    </row>
    <row r="39" spans="10:116" ht="18" x14ac:dyDescent="0.2">
      <c r="J39" s="34">
        <v>51</v>
      </c>
      <c r="K39" s="34" t="s">
        <v>639</v>
      </c>
      <c r="L39" s="34">
        <v>12</v>
      </c>
      <c r="M39" s="34">
        <v>35</v>
      </c>
      <c r="N39" s="34">
        <v>40</v>
      </c>
      <c r="O39" s="34">
        <v>86</v>
      </c>
      <c r="P39" s="34">
        <v>77</v>
      </c>
      <c r="Q39" s="35">
        <f t="shared" si="1"/>
        <v>250</v>
      </c>
      <c r="S39" s="34">
        <v>103</v>
      </c>
      <c r="T39" s="34" t="s">
        <v>640</v>
      </c>
      <c r="U39" s="34">
        <v>9</v>
      </c>
      <c r="V39" s="34">
        <v>45</v>
      </c>
      <c r="W39" s="34">
        <v>55</v>
      </c>
      <c r="X39" s="34">
        <v>49</v>
      </c>
      <c r="Y39" s="34">
        <v>74</v>
      </c>
      <c r="Z39" s="35">
        <f t="shared" si="2"/>
        <v>232</v>
      </c>
      <c r="AB39" s="34">
        <v>155</v>
      </c>
      <c r="AC39" s="34" t="s">
        <v>641</v>
      </c>
      <c r="AD39" s="34">
        <v>43</v>
      </c>
      <c r="AE39" s="34">
        <v>51</v>
      </c>
      <c r="AF39" s="34">
        <v>54</v>
      </c>
      <c r="AG39" s="34">
        <v>89</v>
      </c>
      <c r="AH39" s="34">
        <v>84</v>
      </c>
      <c r="AI39" s="35">
        <f t="shared" si="3"/>
        <v>321</v>
      </c>
      <c r="AK39" s="34">
        <v>207</v>
      </c>
      <c r="AL39" s="34" t="s">
        <v>642</v>
      </c>
      <c r="AM39" s="34">
        <v>36</v>
      </c>
      <c r="AN39" s="34">
        <v>20</v>
      </c>
      <c r="AO39" s="34">
        <v>48</v>
      </c>
      <c r="AP39" s="34">
        <v>39</v>
      </c>
      <c r="AQ39" s="34">
        <v>31</v>
      </c>
      <c r="AR39" s="35">
        <f t="shared" si="4"/>
        <v>174</v>
      </c>
      <c r="AT39" s="34">
        <v>260</v>
      </c>
      <c r="AU39" s="34" t="s">
        <v>643</v>
      </c>
      <c r="AV39" s="34">
        <v>39</v>
      </c>
      <c r="AW39" s="34">
        <v>21</v>
      </c>
      <c r="AX39" s="34">
        <v>89</v>
      </c>
      <c r="AY39" s="34">
        <v>72</v>
      </c>
      <c r="AZ39" s="34">
        <v>77</v>
      </c>
      <c r="BA39" s="35">
        <f t="shared" si="5"/>
        <v>298</v>
      </c>
      <c r="BC39" s="34">
        <v>312</v>
      </c>
      <c r="BD39" s="34" t="s">
        <v>639</v>
      </c>
      <c r="BE39" s="34">
        <v>69</v>
      </c>
      <c r="BF39" s="34">
        <v>81</v>
      </c>
      <c r="BG39" s="34">
        <v>80</v>
      </c>
      <c r="BH39" s="34">
        <v>28</v>
      </c>
      <c r="BI39" s="34">
        <v>18</v>
      </c>
      <c r="BJ39" s="35">
        <f t="shared" si="6"/>
        <v>276</v>
      </c>
      <c r="BL39" s="34">
        <v>364</v>
      </c>
      <c r="BM39" s="34" t="s">
        <v>644</v>
      </c>
      <c r="BN39" s="34">
        <v>55</v>
      </c>
      <c r="BO39" s="34">
        <v>76</v>
      </c>
      <c r="BP39" s="34">
        <v>16</v>
      </c>
      <c r="BQ39" s="34">
        <v>3</v>
      </c>
      <c r="BR39" s="34">
        <v>30</v>
      </c>
      <c r="BS39" s="35">
        <f t="shared" si="7"/>
        <v>180</v>
      </c>
      <c r="BU39" s="34">
        <v>416</v>
      </c>
      <c r="BV39" s="34" t="s">
        <v>640</v>
      </c>
      <c r="BW39" s="34">
        <v>87</v>
      </c>
      <c r="BX39" s="34">
        <v>31</v>
      </c>
      <c r="BY39" s="34">
        <v>46</v>
      </c>
      <c r="BZ39" s="34">
        <v>39</v>
      </c>
      <c r="CA39" s="34">
        <v>79</v>
      </c>
      <c r="CB39" s="35">
        <f t="shared" si="8"/>
        <v>282</v>
      </c>
      <c r="CD39" s="34">
        <v>468</v>
      </c>
      <c r="CE39" s="34" t="s">
        <v>641</v>
      </c>
      <c r="CF39" s="34">
        <v>50</v>
      </c>
      <c r="CG39" s="34">
        <v>34</v>
      </c>
      <c r="CH39" s="34">
        <v>14</v>
      </c>
      <c r="CI39" s="34">
        <v>26</v>
      </c>
      <c r="CJ39" s="34">
        <v>43</v>
      </c>
      <c r="CK39" s="35">
        <f t="shared" si="9"/>
        <v>167</v>
      </c>
      <c r="CM39" s="34">
        <v>520</v>
      </c>
      <c r="CN39" s="34" t="s">
        <v>636</v>
      </c>
      <c r="CO39" s="34">
        <v>7</v>
      </c>
      <c r="CP39" s="34">
        <v>69</v>
      </c>
      <c r="CQ39" s="34">
        <v>43</v>
      </c>
      <c r="CR39" s="34">
        <v>48</v>
      </c>
      <c r="CS39" s="34">
        <v>53</v>
      </c>
      <c r="CT39" s="35">
        <f t="shared" si="10"/>
        <v>220</v>
      </c>
      <c r="CV39" s="34">
        <v>573</v>
      </c>
      <c r="CW39" s="34" t="s">
        <v>645</v>
      </c>
      <c r="CX39" s="34">
        <v>30</v>
      </c>
      <c r="CY39" s="34">
        <v>71</v>
      </c>
      <c r="CZ39" s="34">
        <v>60</v>
      </c>
      <c r="DA39" s="34">
        <v>61</v>
      </c>
      <c r="DB39" s="34">
        <v>80</v>
      </c>
      <c r="DC39" s="35">
        <f t="shared" si="11"/>
        <v>302</v>
      </c>
    </row>
    <row r="40" spans="10:116" ht="18" x14ac:dyDescent="0.2">
      <c r="J40" s="36">
        <v>52</v>
      </c>
      <c r="K40" s="36" t="s">
        <v>646</v>
      </c>
      <c r="L40" s="36">
        <v>67</v>
      </c>
      <c r="M40" s="36">
        <v>66</v>
      </c>
      <c r="N40" s="36">
        <v>52</v>
      </c>
      <c r="O40" s="36">
        <v>71</v>
      </c>
      <c r="P40" s="36">
        <v>12</v>
      </c>
      <c r="Q40" s="35">
        <f t="shared" si="1"/>
        <v>268</v>
      </c>
      <c r="S40" s="36">
        <v>104</v>
      </c>
      <c r="T40" s="36" t="s">
        <v>647</v>
      </c>
      <c r="U40" s="36">
        <v>64</v>
      </c>
      <c r="V40" s="36">
        <v>49</v>
      </c>
      <c r="W40" s="36">
        <v>14</v>
      </c>
      <c r="X40" s="36">
        <v>25</v>
      </c>
      <c r="Y40" s="36">
        <v>24</v>
      </c>
      <c r="Z40" s="35">
        <f t="shared" si="2"/>
        <v>176</v>
      </c>
      <c r="AB40" s="36">
        <v>156</v>
      </c>
      <c r="AC40" s="36" t="s">
        <v>648</v>
      </c>
      <c r="AD40" s="36">
        <v>5</v>
      </c>
      <c r="AE40" s="36">
        <v>2</v>
      </c>
      <c r="AF40" s="36">
        <v>8</v>
      </c>
      <c r="AG40" s="36">
        <v>32</v>
      </c>
      <c r="AH40" s="36">
        <v>72</v>
      </c>
      <c r="AI40" s="35">
        <f t="shared" si="3"/>
        <v>119</v>
      </c>
      <c r="AK40" s="36">
        <v>208</v>
      </c>
      <c r="AL40" s="36" t="s">
        <v>649</v>
      </c>
      <c r="AM40" s="36">
        <v>65</v>
      </c>
      <c r="AN40" s="36">
        <v>1</v>
      </c>
      <c r="AO40" s="36">
        <v>72</v>
      </c>
      <c r="AP40" s="36">
        <v>81</v>
      </c>
      <c r="AQ40" s="36">
        <v>2</v>
      </c>
      <c r="AR40" s="35">
        <f t="shared" si="4"/>
        <v>221</v>
      </c>
      <c r="AT40" s="36">
        <v>261</v>
      </c>
      <c r="AU40" s="36" t="s">
        <v>650</v>
      </c>
      <c r="AV40" s="36">
        <v>19</v>
      </c>
      <c r="AW40" s="36">
        <v>44</v>
      </c>
      <c r="AX40" s="36">
        <v>5</v>
      </c>
      <c r="AY40" s="36">
        <v>31</v>
      </c>
      <c r="AZ40" s="36">
        <v>15</v>
      </c>
      <c r="BA40" s="35">
        <f t="shared" si="5"/>
        <v>114</v>
      </c>
      <c r="BC40" s="36">
        <v>313</v>
      </c>
      <c r="BD40" s="36" t="s">
        <v>646</v>
      </c>
      <c r="BE40" s="36">
        <v>78</v>
      </c>
      <c r="BF40" s="36">
        <v>9</v>
      </c>
      <c r="BG40" s="36">
        <v>3</v>
      </c>
      <c r="BH40" s="36">
        <v>85</v>
      </c>
      <c r="BI40" s="36">
        <v>75</v>
      </c>
      <c r="BJ40" s="35">
        <f t="shared" si="6"/>
        <v>250</v>
      </c>
      <c r="BL40" s="36">
        <v>365</v>
      </c>
      <c r="BM40" s="36" t="s">
        <v>651</v>
      </c>
      <c r="BN40" s="36">
        <v>55</v>
      </c>
      <c r="BO40" s="36">
        <v>69</v>
      </c>
      <c r="BP40" s="36">
        <v>64</v>
      </c>
      <c r="BQ40" s="36">
        <v>44</v>
      </c>
      <c r="BR40" s="36">
        <v>81</v>
      </c>
      <c r="BS40" s="35">
        <f t="shared" si="7"/>
        <v>313</v>
      </c>
      <c r="BU40" s="36">
        <v>417</v>
      </c>
      <c r="BV40" s="36" t="s">
        <v>647</v>
      </c>
      <c r="BW40" s="36">
        <v>41</v>
      </c>
      <c r="BX40" s="36">
        <v>33</v>
      </c>
      <c r="BY40" s="36">
        <v>46</v>
      </c>
      <c r="BZ40" s="36">
        <v>39</v>
      </c>
      <c r="CA40" s="36">
        <v>9</v>
      </c>
      <c r="CB40" s="35">
        <f t="shared" si="8"/>
        <v>168</v>
      </c>
      <c r="CD40" s="36">
        <v>469</v>
      </c>
      <c r="CE40" s="36" t="s">
        <v>648</v>
      </c>
      <c r="CF40" s="36">
        <v>62</v>
      </c>
      <c r="CG40" s="36">
        <v>71</v>
      </c>
      <c r="CH40" s="36">
        <v>60</v>
      </c>
      <c r="CI40" s="36">
        <v>39</v>
      </c>
      <c r="CJ40" s="36">
        <v>18</v>
      </c>
      <c r="CK40" s="35">
        <f t="shared" si="9"/>
        <v>250</v>
      </c>
      <c r="CM40" s="36">
        <v>521</v>
      </c>
      <c r="CN40" s="36" t="s">
        <v>643</v>
      </c>
      <c r="CO40" s="36">
        <v>9</v>
      </c>
      <c r="CP40" s="36">
        <v>23</v>
      </c>
      <c r="CQ40" s="36">
        <v>39</v>
      </c>
      <c r="CR40" s="36">
        <v>85</v>
      </c>
      <c r="CS40" s="36">
        <v>40</v>
      </c>
      <c r="CT40" s="35">
        <f t="shared" si="10"/>
        <v>196</v>
      </c>
      <c r="CV40" s="36">
        <v>574</v>
      </c>
      <c r="CW40" s="36" t="s">
        <v>652</v>
      </c>
      <c r="CX40" s="36">
        <v>32</v>
      </c>
      <c r="CY40" s="36">
        <v>12</v>
      </c>
      <c r="CZ40" s="36">
        <v>61</v>
      </c>
      <c r="DA40" s="36">
        <v>20</v>
      </c>
      <c r="DB40" s="36">
        <v>79</v>
      </c>
      <c r="DC40" s="35">
        <f t="shared" si="11"/>
        <v>204</v>
      </c>
    </row>
    <row r="41" spans="10:116" ht="18" x14ac:dyDescent="0.2">
      <c r="J41" s="34">
        <v>53</v>
      </c>
      <c r="K41" s="34" t="s">
        <v>653</v>
      </c>
      <c r="L41" s="34">
        <v>20</v>
      </c>
      <c r="M41" s="34">
        <v>18</v>
      </c>
      <c r="N41" s="34">
        <v>85</v>
      </c>
      <c r="O41" s="34">
        <v>60</v>
      </c>
      <c r="P41" s="34">
        <v>12</v>
      </c>
      <c r="Q41" s="35">
        <f t="shared" si="1"/>
        <v>195</v>
      </c>
      <c r="S41" s="34">
        <v>105</v>
      </c>
      <c r="T41" s="34" t="s">
        <v>654</v>
      </c>
      <c r="U41" s="34">
        <v>13</v>
      </c>
      <c r="V41" s="34">
        <v>87</v>
      </c>
      <c r="W41" s="34">
        <v>45</v>
      </c>
      <c r="X41" s="34">
        <v>53</v>
      </c>
      <c r="Y41" s="34">
        <v>79</v>
      </c>
      <c r="Z41" s="35">
        <f t="shared" si="2"/>
        <v>277</v>
      </c>
      <c r="AB41" s="34">
        <v>157</v>
      </c>
      <c r="AC41" s="34" t="s">
        <v>655</v>
      </c>
      <c r="AD41" s="34">
        <v>77</v>
      </c>
      <c r="AE41" s="34">
        <v>11</v>
      </c>
      <c r="AF41" s="34">
        <v>40</v>
      </c>
      <c r="AG41" s="34">
        <v>64</v>
      </c>
      <c r="AH41" s="34">
        <v>58</v>
      </c>
      <c r="AI41" s="35">
        <f t="shared" si="3"/>
        <v>250</v>
      </c>
      <c r="AK41" s="34">
        <v>209</v>
      </c>
      <c r="AL41" s="34" t="s">
        <v>656</v>
      </c>
      <c r="AM41" s="34">
        <v>72</v>
      </c>
      <c r="AN41" s="34">
        <v>45</v>
      </c>
      <c r="AO41" s="34">
        <v>57</v>
      </c>
      <c r="AP41" s="34">
        <v>69</v>
      </c>
      <c r="AQ41" s="34">
        <v>87</v>
      </c>
      <c r="AR41" s="35">
        <f t="shared" si="4"/>
        <v>330</v>
      </c>
      <c r="AT41" s="34">
        <v>262</v>
      </c>
      <c r="AU41" s="34" t="s">
        <v>657</v>
      </c>
      <c r="AV41" s="34">
        <v>20</v>
      </c>
      <c r="AW41" s="34">
        <v>12</v>
      </c>
      <c r="AX41" s="34">
        <v>53</v>
      </c>
      <c r="AY41" s="34">
        <v>61</v>
      </c>
      <c r="AZ41" s="34">
        <v>63</v>
      </c>
      <c r="BA41" s="35">
        <f t="shared" si="5"/>
        <v>209</v>
      </c>
      <c r="BC41" s="34">
        <v>314</v>
      </c>
      <c r="BD41" s="34" t="s">
        <v>653</v>
      </c>
      <c r="BE41" s="34">
        <v>81</v>
      </c>
      <c r="BF41" s="34">
        <v>7</v>
      </c>
      <c r="BG41" s="34">
        <v>89</v>
      </c>
      <c r="BH41" s="34">
        <v>15</v>
      </c>
      <c r="BI41" s="34">
        <v>59</v>
      </c>
      <c r="BJ41" s="35">
        <f t="shared" si="6"/>
        <v>251</v>
      </c>
      <c r="BL41" s="34">
        <v>366</v>
      </c>
      <c r="BM41" s="34" t="s">
        <v>658</v>
      </c>
      <c r="BN41" s="34">
        <v>69</v>
      </c>
      <c r="BO41" s="34">
        <v>87</v>
      </c>
      <c r="BP41" s="34">
        <v>75</v>
      </c>
      <c r="BQ41" s="34">
        <v>83</v>
      </c>
      <c r="BR41" s="34">
        <v>60</v>
      </c>
      <c r="BS41" s="35">
        <f t="shared" si="7"/>
        <v>374</v>
      </c>
      <c r="BU41" s="34">
        <v>418</v>
      </c>
      <c r="BV41" s="34" t="s">
        <v>654</v>
      </c>
      <c r="BW41" s="34">
        <v>39</v>
      </c>
      <c r="BX41" s="34">
        <v>31</v>
      </c>
      <c r="BY41" s="34">
        <v>61</v>
      </c>
      <c r="BZ41" s="34">
        <v>59</v>
      </c>
      <c r="CA41" s="34">
        <v>28</v>
      </c>
      <c r="CB41" s="35">
        <f t="shared" si="8"/>
        <v>218</v>
      </c>
      <c r="CD41" s="34">
        <v>470</v>
      </c>
      <c r="CE41" s="34" t="s">
        <v>655</v>
      </c>
      <c r="CF41" s="34">
        <v>70</v>
      </c>
      <c r="CG41" s="34">
        <v>4</v>
      </c>
      <c r="CH41" s="34">
        <v>51</v>
      </c>
      <c r="CI41" s="34">
        <v>28</v>
      </c>
      <c r="CJ41" s="34">
        <v>57</v>
      </c>
      <c r="CK41" s="35">
        <f t="shared" si="9"/>
        <v>210</v>
      </c>
      <c r="CM41" s="34">
        <v>522</v>
      </c>
      <c r="CN41" s="34" t="s">
        <v>650</v>
      </c>
      <c r="CO41" s="34">
        <v>18</v>
      </c>
      <c r="CP41" s="34">
        <v>74</v>
      </c>
      <c r="CQ41" s="34">
        <v>22</v>
      </c>
      <c r="CR41" s="34">
        <v>19</v>
      </c>
      <c r="CS41" s="34">
        <v>1</v>
      </c>
      <c r="CT41" s="35">
        <f t="shared" si="10"/>
        <v>134</v>
      </c>
      <c r="CV41" s="34">
        <v>575</v>
      </c>
      <c r="CW41" s="34" t="s">
        <v>374</v>
      </c>
      <c r="CX41" s="34">
        <v>30</v>
      </c>
      <c r="CY41" s="34">
        <v>81</v>
      </c>
      <c r="CZ41" s="34">
        <v>67</v>
      </c>
      <c r="DA41" s="34">
        <v>90</v>
      </c>
      <c r="DB41" s="34">
        <v>18</v>
      </c>
      <c r="DC41" s="35">
        <f t="shared" si="11"/>
        <v>286</v>
      </c>
    </row>
    <row r="42" spans="10:116" ht="18" x14ac:dyDescent="0.2">
      <c r="J42" s="36">
        <v>54</v>
      </c>
      <c r="K42" s="36" t="s">
        <v>659</v>
      </c>
      <c r="L42" s="36">
        <v>89</v>
      </c>
      <c r="M42" s="36">
        <v>54</v>
      </c>
      <c r="N42" s="36">
        <v>37</v>
      </c>
      <c r="O42" s="36">
        <v>68</v>
      </c>
      <c r="P42" s="36">
        <v>22</v>
      </c>
      <c r="Q42" s="35">
        <f t="shared" si="1"/>
        <v>270</v>
      </c>
      <c r="S42" s="36">
        <v>106</v>
      </c>
      <c r="T42" s="36" t="s">
        <v>660</v>
      </c>
      <c r="U42" s="36">
        <v>22</v>
      </c>
      <c r="V42" s="36">
        <v>71</v>
      </c>
      <c r="W42" s="36">
        <v>65</v>
      </c>
      <c r="X42" s="36">
        <v>42</v>
      </c>
      <c r="Y42" s="36">
        <v>34</v>
      </c>
      <c r="Z42" s="35">
        <f t="shared" si="2"/>
        <v>234</v>
      </c>
      <c r="AB42" s="36">
        <v>158</v>
      </c>
      <c r="AC42" s="36" t="s">
        <v>661</v>
      </c>
      <c r="AD42" s="36">
        <v>80</v>
      </c>
      <c r="AE42" s="36">
        <v>68</v>
      </c>
      <c r="AF42" s="36">
        <v>14</v>
      </c>
      <c r="AG42" s="36">
        <v>19</v>
      </c>
      <c r="AH42" s="36">
        <v>89</v>
      </c>
      <c r="AI42" s="35">
        <f t="shared" si="3"/>
        <v>270</v>
      </c>
      <c r="AK42" s="36">
        <v>210</v>
      </c>
      <c r="AL42" s="36" t="s">
        <v>662</v>
      </c>
      <c r="AM42" s="36">
        <v>76</v>
      </c>
      <c r="AN42" s="36">
        <v>33</v>
      </c>
      <c r="AO42" s="36">
        <v>31</v>
      </c>
      <c r="AP42" s="36">
        <v>80</v>
      </c>
      <c r="AQ42" s="36">
        <v>19</v>
      </c>
      <c r="AR42" s="35">
        <f t="shared" si="4"/>
        <v>239</v>
      </c>
      <c r="AT42" s="36">
        <v>263</v>
      </c>
      <c r="AU42" s="36" t="s">
        <v>663</v>
      </c>
      <c r="AV42" s="36">
        <v>60</v>
      </c>
      <c r="AW42" s="36">
        <v>84</v>
      </c>
      <c r="AX42" s="36">
        <v>57</v>
      </c>
      <c r="AY42" s="36">
        <v>12</v>
      </c>
      <c r="AZ42" s="36">
        <v>54</v>
      </c>
      <c r="BA42" s="35">
        <f t="shared" si="5"/>
        <v>267</v>
      </c>
      <c r="BC42" s="36">
        <v>315</v>
      </c>
      <c r="BD42" s="36" t="s">
        <v>659</v>
      </c>
      <c r="BE42" s="36">
        <v>65</v>
      </c>
      <c r="BF42" s="36">
        <v>19</v>
      </c>
      <c r="BG42" s="36">
        <v>48</v>
      </c>
      <c r="BH42" s="36">
        <v>49</v>
      </c>
      <c r="BI42" s="36">
        <v>58</v>
      </c>
      <c r="BJ42" s="35">
        <f t="shared" si="6"/>
        <v>239</v>
      </c>
      <c r="BL42" s="36">
        <v>367</v>
      </c>
      <c r="BM42" s="36" t="s">
        <v>664</v>
      </c>
      <c r="BN42" s="36">
        <v>25</v>
      </c>
      <c r="BO42" s="36">
        <v>6</v>
      </c>
      <c r="BP42" s="36">
        <v>31</v>
      </c>
      <c r="BQ42" s="36">
        <v>66</v>
      </c>
      <c r="BR42" s="36">
        <v>70</v>
      </c>
      <c r="BS42" s="35">
        <f t="shared" si="7"/>
        <v>198</v>
      </c>
      <c r="BU42" s="36">
        <v>419</v>
      </c>
      <c r="BV42" s="36" t="s">
        <v>665</v>
      </c>
      <c r="BW42" s="36">
        <v>38</v>
      </c>
      <c r="BX42" s="36">
        <v>58</v>
      </c>
      <c r="BY42" s="36">
        <v>60</v>
      </c>
      <c r="BZ42" s="36">
        <v>39</v>
      </c>
      <c r="CA42" s="36">
        <v>44</v>
      </c>
      <c r="CB42" s="35">
        <f t="shared" si="8"/>
        <v>239</v>
      </c>
      <c r="CD42" s="36">
        <v>471</v>
      </c>
      <c r="CE42" s="36" t="s">
        <v>661</v>
      </c>
      <c r="CF42" s="36">
        <v>36</v>
      </c>
      <c r="CG42" s="36">
        <v>5</v>
      </c>
      <c r="CH42" s="36">
        <v>6</v>
      </c>
      <c r="CI42" s="36">
        <v>28</v>
      </c>
      <c r="CJ42" s="36">
        <v>10</v>
      </c>
      <c r="CK42" s="35">
        <f t="shared" si="9"/>
        <v>85</v>
      </c>
      <c r="CM42" s="36">
        <v>523</v>
      </c>
      <c r="CN42" s="36" t="s">
        <v>657</v>
      </c>
      <c r="CO42" s="36">
        <v>84</v>
      </c>
      <c r="CP42" s="36">
        <v>54</v>
      </c>
      <c r="CQ42" s="36">
        <v>20</v>
      </c>
      <c r="CR42" s="36">
        <v>22</v>
      </c>
      <c r="CS42" s="36">
        <v>5</v>
      </c>
      <c r="CT42" s="35">
        <f t="shared" si="10"/>
        <v>185</v>
      </c>
      <c r="CV42" s="36">
        <v>576</v>
      </c>
      <c r="CW42" s="36" t="s">
        <v>382</v>
      </c>
      <c r="CX42" s="36">
        <v>84</v>
      </c>
      <c r="CY42" s="36">
        <v>47</v>
      </c>
      <c r="CZ42" s="36">
        <v>52</v>
      </c>
      <c r="DA42" s="36">
        <v>51</v>
      </c>
      <c r="DB42" s="36">
        <v>83</v>
      </c>
      <c r="DC42" s="35">
        <f t="shared" si="11"/>
        <v>317</v>
      </c>
    </row>
    <row r="43" spans="10:116" ht="18" x14ac:dyDescent="0.2">
      <c r="J43" s="34">
        <v>55</v>
      </c>
      <c r="K43" s="34" t="s">
        <v>666</v>
      </c>
      <c r="L43" s="34">
        <v>23</v>
      </c>
      <c r="M43" s="34">
        <v>47</v>
      </c>
      <c r="N43" s="34">
        <v>50</v>
      </c>
      <c r="O43" s="34">
        <v>60</v>
      </c>
      <c r="P43" s="34">
        <v>20</v>
      </c>
      <c r="Q43" s="35">
        <f t="shared" si="1"/>
        <v>200</v>
      </c>
      <c r="S43" s="34">
        <v>107</v>
      </c>
      <c r="T43" s="34" t="s">
        <v>667</v>
      </c>
      <c r="U43" s="34">
        <v>89</v>
      </c>
      <c r="V43" s="34">
        <v>61</v>
      </c>
      <c r="W43" s="34">
        <v>53</v>
      </c>
      <c r="X43" s="34">
        <v>51</v>
      </c>
      <c r="Y43" s="34">
        <v>86</v>
      </c>
      <c r="Z43" s="35">
        <f t="shared" si="2"/>
        <v>340</v>
      </c>
      <c r="AB43" s="34">
        <v>159</v>
      </c>
      <c r="AC43" s="34" t="s">
        <v>668</v>
      </c>
      <c r="AD43" s="34">
        <v>15</v>
      </c>
      <c r="AE43" s="34">
        <v>46</v>
      </c>
      <c r="AF43" s="34">
        <v>13</v>
      </c>
      <c r="AG43" s="34">
        <v>55</v>
      </c>
      <c r="AH43" s="34">
        <v>22</v>
      </c>
      <c r="AI43" s="35">
        <f t="shared" si="3"/>
        <v>151</v>
      </c>
      <c r="AK43" s="34">
        <v>211</v>
      </c>
      <c r="AL43" s="34" t="s">
        <v>669</v>
      </c>
      <c r="AM43" s="34">
        <v>34</v>
      </c>
      <c r="AN43" s="34">
        <v>86</v>
      </c>
      <c r="AO43" s="34">
        <v>42</v>
      </c>
      <c r="AP43" s="34">
        <v>62</v>
      </c>
      <c r="AQ43" s="34">
        <v>3</v>
      </c>
      <c r="AR43" s="35">
        <f t="shared" si="4"/>
        <v>227</v>
      </c>
      <c r="AT43" s="34">
        <v>264</v>
      </c>
      <c r="AU43" s="34" t="s">
        <v>670</v>
      </c>
      <c r="AV43" s="34">
        <v>26</v>
      </c>
      <c r="AW43" s="34">
        <v>10</v>
      </c>
      <c r="AX43" s="34">
        <v>52</v>
      </c>
      <c r="AY43" s="34">
        <v>69</v>
      </c>
      <c r="AZ43" s="34">
        <v>78</v>
      </c>
      <c r="BA43" s="35">
        <f t="shared" si="5"/>
        <v>235</v>
      </c>
      <c r="BC43" s="34">
        <v>316</v>
      </c>
      <c r="BD43" s="34" t="s">
        <v>666</v>
      </c>
      <c r="BE43" s="34">
        <v>23</v>
      </c>
      <c r="BF43" s="34">
        <v>20</v>
      </c>
      <c r="BG43" s="34">
        <v>57</v>
      </c>
      <c r="BH43" s="34">
        <v>88</v>
      </c>
      <c r="BI43" s="34">
        <v>70</v>
      </c>
      <c r="BJ43" s="35">
        <f t="shared" si="6"/>
        <v>258</v>
      </c>
      <c r="BL43" s="34">
        <v>368</v>
      </c>
      <c r="BM43" s="34" t="s">
        <v>671</v>
      </c>
      <c r="BN43" s="34">
        <v>71</v>
      </c>
      <c r="BO43" s="34">
        <v>84</v>
      </c>
      <c r="BP43" s="34">
        <v>83</v>
      </c>
      <c r="BQ43" s="34">
        <v>73</v>
      </c>
      <c r="BR43" s="34">
        <v>33</v>
      </c>
      <c r="BS43" s="35">
        <f t="shared" si="7"/>
        <v>344</v>
      </c>
      <c r="BU43" s="34">
        <v>420</v>
      </c>
      <c r="BV43" s="34" t="s">
        <v>667</v>
      </c>
      <c r="BW43" s="34">
        <v>25</v>
      </c>
      <c r="BX43" s="34">
        <v>83</v>
      </c>
      <c r="BY43" s="34">
        <v>28</v>
      </c>
      <c r="BZ43" s="34">
        <v>1</v>
      </c>
      <c r="CA43" s="34">
        <v>2</v>
      </c>
      <c r="CB43" s="35">
        <f t="shared" si="8"/>
        <v>139</v>
      </c>
      <c r="CD43" s="34">
        <v>472</v>
      </c>
      <c r="CE43" s="34" t="s">
        <v>668</v>
      </c>
      <c r="CF43" s="34">
        <v>26</v>
      </c>
      <c r="CG43" s="34">
        <v>3</v>
      </c>
      <c r="CH43" s="34">
        <v>9</v>
      </c>
      <c r="CI43" s="34">
        <v>75</v>
      </c>
      <c r="CJ43" s="34">
        <v>15</v>
      </c>
      <c r="CK43" s="35">
        <f t="shared" si="9"/>
        <v>128</v>
      </c>
      <c r="CM43" s="34">
        <v>524</v>
      </c>
      <c r="CN43" s="34" t="s">
        <v>663</v>
      </c>
      <c r="CO43" s="34">
        <v>86</v>
      </c>
      <c r="CP43" s="34">
        <v>66</v>
      </c>
      <c r="CQ43" s="34">
        <v>4</v>
      </c>
      <c r="CR43" s="34">
        <v>58</v>
      </c>
      <c r="CS43" s="34">
        <v>5</v>
      </c>
      <c r="CT43" s="35">
        <f t="shared" si="10"/>
        <v>219</v>
      </c>
      <c r="CV43" s="34">
        <v>577</v>
      </c>
      <c r="CW43" s="34" t="s">
        <v>390</v>
      </c>
      <c r="CX43" s="34">
        <v>13</v>
      </c>
      <c r="CY43" s="34">
        <v>85</v>
      </c>
      <c r="CZ43" s="34">
        <v>34</v>
      </c>
      <c r="DA43" s="34">
        <v>40</v>
      </c>
      <c r="DB43" s="34">
        <v>90</v>
      </c>
      <c r="DC43" s="35">
        <f t="shared" si="11"/>
        <v>262</v>
      </c>
    </row>
    <row r="44" spans="10:116" ht="18" x14ac:dyDescent="0.2">
      <c r="J44" s="36">
        <v>56</v>
      </c>
      <c r="K44" s="36" t="s">
        <v>672</v>
      </c>
      <c r="L44" s="36">
        <v>22</v>
      </c>
      <c r="M44" s="36">
        <v>61</v>
      </c>
      <c r="N44" s="36">
        <v>34</v>
      </c>
      <c r="O44" s="36">
        <v>81</v>
      </c>
      <c r="P44" s="36">
        <v>74</v>
      </c>
      <c r="Q44" s="35">
        <f t="shared" si="1"/>
        <v>272</v>
      </c>
      <c r="S44" s="36">
        <v>108</v>
      </c>
      <c r="T44" s="36" t="s">
        <v>673</v>
      </c>
      <c r="U44" s="36">
        <v>56</v>
      </c>
      <c r="V44" s="36">
        <v>11</v>
      </c>
      <c r="W44" s="36">
        <v>73</v>
      </c>
      <c r="X44" s="36">
        <v>25</v>
      </c>
      <c r="Y44" s="36">
        <v>50</v>
      </c>
      <c r="Z44" s="35">
        <f t="shared" si="2"/>
        <v>215</v>
      </c>
      <c r="AB44" s="36">
        <v>160</v>
      </c>
      <c r="AC44" s="36" t="s">
        <v>674</v>
      </c>
      <c r="AD44" s="36">
        <v>74</v>
      </c>
      <c r="AE44" s="36">
        <v>35</v>
      </c>
      <c r="AF44" s="36">
        <v>59</v>
      </c>
      <c r="AG44" s="36">
        <v>52</v>
      </c>
      <c r="AH44" s="36">
        <v>63</v>
      </c>
      <c r="AI44" s="35">
        <f t="shared" si="3"/>
        <v>283</v>
      </c>
      <c r="AK44" s="36">
        <v>212</v>
      </c>
      <c r="AL44" s="36" t="s">
        <v>675</v>
      </c>
      <c r="AM44" s="36">
        <v>68</v>
      </c>
      <c r="AN44" s="36">
        <v>44</v>
      </c>
      <c r="AO44" s="36">
        <v>29</v>
      </c>
      <c r="AP44" s="36">
        <v>16</v>
      </c>
      <c r="AQ44" s="36">
        <v>74</v>
      </c>
      <c r="AR44" s="35">
        <f t="shared" si="4"/>
        <v>231</v>
      </c>
      <c r="AT44" s="36">
        <v>265</v>
      </c>
      <c r="AU44" s="36" t="s">
        <v>676</v>
      </c>
      <c r="AV44" s="36">
        <v>72</v>
      </c>
      <c r="AW44" s="36">
        <v>28</v>
      </c>
      <c r="AX44" s="36">
        <v>75</v>
      </c>
      <c r="AY44" s="36">
        <v>66</v>
      </c>
      <c r="AZ44" s="36">
        <v>22</v>
      </c>
      <c r="BA44" s="35">
        <f t="shared" si="5"/>
        <v>263</v>
      </c>
      <c r="BC44" s="36">
        <v>317</v>
      </c>
      <c r="BD44" s="36" t="s">
        <v>672</v>
      </c>
      <c r="BE44" s="36">
        <v>36</v>
      </c>
      <c r="BF44" s="36">
        <v>60</v>
      </c>
      <c r="BG44" s="36">
        <v>70</v>
      </c>
      <c r="BH44" s="36">
        <v>27</v>
      </c>
      <c r="BI44" s="36">
        <v>23</v>
      </c>
      <c r="BJ44" s="35">
        <f t="shared" si="6"/>
        <v>216</v>
      </c>
      <c r="BL44" s="36">
        <v>369</v>
      </c>
      <c r="BM44" s="36" t="s">
        <v>677</v>
      </c>
      <c r="BN44" s="36">
        <v>51</v>
      </c>
      <c r="BO44" s="36">
        <v>31</v>
      </c>
      <c r="BP44" s="36">
        <v>32</v>
      </c>
      <c r="BQ44" s="36">
        <v>9</v>
      </c>
      <c r="BR44" s="36">
        <v>87</v>
      </c>
      <c r="BS44" s="35">
        <f t="shared" si="7"/>
        <v>210</v>
      </c>
      <c r="BU44" s="36">
        <v>421</v>
      </c>
      <c r="BV44" s="36" t="s">
        <v>673</v>
      </c>
      <c r="BW44" s="36">
        <v>47</v>
      </c>
      <c r="BX44" s="36">
        <v>46</v>
      </c>
      <c r="BY44" s="36">
        <v>7</v>
      </c>
      <c r="BZ44" s="36">
        <v>87</v>
      </c>
      <c r="CA44" s="36">
        <v>79</v>
      </c>
      <c r="CB44" s="35">
        <f t="shared" si="8"/>
        <v>266</v>
      </c>
      <c r="CD44" s="36">
        <v>473</v>
      </c>
      <c r="CE44" s="36" t="s">
        <v>674</v>
      </c>
      <c r="CF44" s="36">
        <v>2</v>
      </c>
      <c r="CG44" s="36">
        <v>46</v>
      </c>
      <c r="CH44" s="36">
        <v>43</v>
      </c>
      <c r="CI44" s="36">
        <v>48</v>
      </c>
      <c r="CJ44" s="36">
        <v>16</v>
      </c>
      <c r="CK44" s="35">
        <f t="shared" si="9"/>
        <v>155</v>
      </c>
      <c r="CM44" s="36">
        <v>525</v>
      </c>
      <c r="CN44" s="36" t="s">
        <v>670</v>
      </c>
      <c r="CO44" s="36">
        <v>87</v>
      </c>
      <c r="CP44" s="36">
        <v>43</v>
      </c>
      <c r="CQ44" s="36">
        <v>15</v>
      </c>
      <c r="CR44" s="36">
        <v>61</v>
      </c>
      <c r="CS44" s="36">
        <v>37</v>
      </c>
      <c r="CT44" s="35">
        <f t="shared" si="10"/>
        <v>243</v>
      </c>
      <c r="CV44" s="36">
        <v>578</v>
      </c>
      <c r="CW44" s="36" t="s">
        <v>398</v>
      </c>
      <c r="CX44" s="36">
        <v>49</v>
      </c>
      <c r="CY44" s="36">
        <v>38</v>
      </c>
      <c r="CZ44" s="36">
        <v>20</v>
      </c>
      <c r="DA44" s="36">
        <v>41</v>
      </c>
      <c r="DB44" s="36">
        <v>63</v>
      </c>
      <c r="DC44" s="35">
        <f t="shared" si="11"/>
        <v>211</v>
      </c>
    </row>
    <row r="45" spans="10:116" ht="18" x14ac:dyDescent="0.2">
      <c r="J45" s="34">
        <v>57</v>
      </c>
      <c r="K45" s="34" t="s">
        <v>678</v>
      </c>
      <c r="L45" s="34">
        <v>26</v>
      </c>
      <c r="M45" s="34">
        <v>30</v>
      </c>
      <c r="N45" s="34">
        <v>76</v>
      </c>
      <c r="O45" s="34">
        <v>6</v>
      </c>
      <c r="P45" s="34">
        <v>56</v>
      </c>
      <c r="Q45" s="35">
        <f t="shared" si="1"/>
        <v>194</v>
      </c>
      <c r="S45" s="34">
        <v>109</v>
      </c>
      <c r="T45" s="34" t="s">
        <v>679</v>
      </c>
      <c r="U45" s="34">
        <v>63</v>
      </c>
      <c r="V45" s="34">
        <v>34</v>
      </c>
      <c r="W45" s="34">
        <v>66</v>
      </c>
      <c r="X45" s="34">
        <v>78</v>
      </c>
      <c r="Y45" s="34">
        <v>64</v>
      </c>
      <c r="Z45" s="35">
        <f t="shared" si="2"/>
        <v>305</v>
      </c>
      <c r="AB45" s="34">
        <v>161</v>
      </c>
      <c r="AC45" s="34" t="s">
        <v>680</v>
      </c>
      <c r="AD45" s="34">
        <v>18</v>
      </c>
      <c r="AE45" s="34">
        <v>39</v>
      </c>
      <c r="AF45" s="34">
        <v>11</v>
      </c>
      <c r="AG45" s="34">
        <v>30</v>
      </c>
      <c r="AH45" s="34">
        <v>90</v>
      </c>
      <c r="AI45" s="35">
        <f t="shared" si="3"/>
        <v>188</v>
      </c>
      <c r="AK45" s="34">
        <v>213</v>
      </c>
      <c r="AL45" s="34" t="s">
        <v>681</v>
      </c>
      <c r="AM45" s="34">
        <v>46</v>
      </c>
      <c r="AN45" s="34">
        <v>85</v>
      </c>
      <c r="AO45" s="34">
        <v>38</v>
      </c>
      <c r="AP45" s="34">
        <v>90</v>
      </c>
      <c r="AQ45" s="34">
        <v>88</v>
      </c>
      <c r="AR45" s="35">
        <f t="shared" si="4"/>
        <v>347</v>
      </c>
      <c r="AT45" s="34">
        <v>266</v>
      </c>
      <c r="AU45" s="34" t="s">
        <v>682</v>
      </c>
      <c r="AV45" s="34">
        <v>89</v>
      </c>
      <c r="AW45" s="34">
        <v>12</v>
      </c>
      <c r="AX45" s="34">
        <v>14</v>
      </c>
      <c r="AY45" s="34">
        <v>46</v>
      </c>
      <c r="AZ45" s="34">
        <v>55</v>
      </c>
      <c r="BA45" s="35">
        <f t="shared" si="5"/>
        <v>216</v>
      </c>
      <c r="BC45" s="34">
        <v>318</v>
      </c>
      <c r="BD45" s="34" t="s">
        <v>678</v>
      </c>
      <c r="BE45" s="34">
        <v>81</v>
      </c>
      <c r="BF45" s="34">
        <v>80</v>
      </c>
      <c r="BG45" s="34">
        <v>30</v>
      </c>
      <c r="BH45" s="34">
        <v>47</v>
      </c>
      <c r="BI45" s="34">
        <v>84</v>
      </c>
      <c r="BJ45" s="35">
        <f t="shared" si="6"/>
        <v>322</v>
      </c>
      <c r="BL45" s="34">
        <v>370</v>
      </c>
      <c r="BM45" s="34" t="s">
        <v>683</v>
      </c>
      <c r="BN45" s="34">
        <v>1</v>
      </c>
      <c r="BO45" s="34">
        <v>2</v>
      </c>
      <c r="BP45" s="34">
        <v>81</v>
      </c>
      <c r="BQ45" s="34">
        <v>11</v>
      </c>
      <c r="BR45" s="34">
        <v>84</v>
      </c>
      <c r="BS45" s="35">
        <f t="shared" si="7"/>
        <v>179</v>
      </c>
      <c r="BU45" s="34">
        <v>422</v>
      </c>
      <c r="BV45" s="34" t="s">
        <v>679</v>
      </c>
      <c r="BW45" s="34">
        <v>81</v>
      </c>
      <c r="BX45" s="34">
        <v>41</v>
      </c>
      <c r="BY45" s="34">
        <v>61</v>
      </c>
      <c r="BZ45" s="34">
        <v>44</v>
      </c>
      <c r="CA45" s="34">
        <v>86</v>
      </c>
      <c r="CB45" s="35">
        <f t="shared" si="8"/>
        <v>313</v>
      </c>
      <c r="CD45" s="34">
        <v>474</v>
      </c>
      <c r="CE45" s="34" t="s">
        <v>680</v>
      </c>
      <c r="CF45" s="34">
        <v>74</v>
      </c>
      <c r="CG45" s="34">
        <v>13</v>
      </c>
      <c r="CH45" s="34">
        <v>4</v>
      </c>
      <c r="CI45" s="34">
        <v>9</v>
      </c>
      <c r="CJ45" s="34">
        <v>70</v>
      </c>
      <c r="CK45" s="35">
        <f t="shared" si="9"/>
        <v>170</v>
      </c>
      <c r="CM45" s="34">
        <v>526</v>
      </c>
      <c r="CN45" s="34" t="s">
        <v>676</v>
      </c>
      <c r="CO45" s="34">
        <v>49</v>
      </c>
      <c r="CP45" s="34">
        <v>31</v>
      </c>
      <c r="CQ45" s="34">
        <v>47</v>
      </c>
      <c r="CR45" s="34">
        <v>56</v>
      </c>
      <c r="CS45" s="34">
        <v>82</v>
      </c>
      <c r="CT45" s="35">
        <f t="shared" si="10"/>
        <v>265</v>
      </c>
      <c r="CV45" s="34">
        <v>579</v>
      </c>
      <c r="CW45" s="34" t="s">
        <v>406</v>
      </c>
      <c r="CX45" s="34">
        <v>88</v>
      </c>
      <c r="CY45" s="34">
        <v>66</v>
      </c>
      <c r="CZ45" s="34">
        <v>67</v>
      </c>
      <c r="DA45" s="34">
        <v>50</v>
      </c>
      <c r="DB45" s="34">
        <v>49</v>
      </c>
      <c r="DC45" s="35">
        <f t="shared" si="11"/>
        <v>320</v>
      </c>
    </row>
    <row r="46" spans="10:116" ht="18" x14ac:dyDescent="0.2">
      <c r="J46" s="36">
        <v>58</v>
      </c>
      <c r="K46" s="36" t="s">
        <v>684</v>
      </c>
      <c r="L46" s="36">
        <v>70</v>
      </c>
      <c r="M46" s="36">
        <v>34</v>
      </c>
      <c r="N46" s="36">
        <v>69</v>
      </c>
      <c r="O46" s="36">
        <v>23</v>
      </c>
      <c r="P46" s="36">
        <v>32</v>
      </c>
      <c r="Q46" s="35">
        <f t="shared" si="1"/>
        <v>228</v>
      </c>
      <c r="S46" s="36">
        <v>110</v>
      </c>
      <c r="T46" s="36" t="s">
        <v>685</v>
      </c>
      <c r="U46" s="36">
        <v>82</v>
      </c>
      <c r="V46" s="36">
        <v>35</v>
      </c>
      <c r="W46" s="36">
        <v>12</v>
      </c>
      <c r="X46" s="36">
        <v>16</v>
      </c>
      <c r="Y46" s="36">
        <v>40</v>
      </c>
      <c r="Z46" s="35">
        <f t="shared" si="2"/>
        <v>185</v>
      </c>
      <c r="AB46" s="36">
        <v>162</v>
      </c>
      <c r="AC46" s="36" t="s">
        <v>660</v>
      </c>
      <c r="AD46" s="36">
        <v>32</v>
      </c>
      <c r="AE46" s="36">
        <v>45</v>
      </c>
      <c r="AF46" s="36">
        <v>66</v>
      </c>
      <c r="AG46" s="36">
        <v>20</v>
      </c>
      <c r="AH46" s="36">
        <v>19</v>
      </c>
      <c r="AI46" s="35">
        <f t="shared" si="3"/>
        <v>182</v>
      </c>
      <c r="AK46" s="36">
        <v>214</v>
      </c>
      <c r="AL46" s="36" t="s">
        <v>686</v>
      </c>
      <c r="AM46" s="36">
        <v>2</v>
      </c>
      <c r="AN46" s="36">
        <v>71</v>
      </c>
      <c r="AO46" s="36">
        <v>30</v>
      </c>
      <c r="AP46" s="36">
        <v>77</v>
      </c>
      <c r="AQ46" s="36">
        <v>29</v>
      </c>
      <c r="AR46" s="35">
        <f t="shared" si="4"/>
        <v>209</v>
      </c>
      <c r="AT46" s="36">
        <v>267</v>
      </c>
      <c r="AU46" s="36" t="s">
        <v>687</v>
      </c>
      <c r="AV46" s="36">
        <v>90</v>
      </c>
      <c r="AW46" s="36">
        <v>13</v>
      </c>
      <c r="AX46" s="36">
        <v>14</v>
      </c>
      <c r="AY46" s="36">
        <v>84</v>
      </c>
      <c r="AZ46" s="36">
        <v>71</v>
      </c>
      <c r="BA46" s="35">
        <f t="shared" si="5"/>
        <v>272</v>
      </c>
      <c r="BC46" s="36">
        <v>319</v>
      </c>
      <c r="BD46" s="36" t="s">
        <v>684</v>
      </c>
      <c r="BE46" s="36">
        <v>14</v>
      </c>
      <c r="BF46" s="36">
        <v>88</v>
      </c>
      <c r="BG46" s="36">
        <v>38</v>
      </c>
      <c r="BH46" s="36">
        <v>89</v>
      </c>
      <c r="BI46" s="36">
        <v>41</v>
      </c>
      <c r="BJ46" s="35">
        <f t="shared" si="6"/>
        <v>270</v>
      </c>
      <c r="BL46" s="36">
        <v>371</v>
      </c>
      <c r="BM46" s="36" t="s">
        <v>688</v>
      </c>
      <c r="BN46" s="36">
        <v>41</v>
      </c>
      <c r="BO46" s="36">
        <v>78</v>
      </c>
      <c r="BP46" s="36">
        <v>58</v>
      </c>
      <c r="BQ46" s="36">
        <v>12</v>
      </c>
      <c r="BR46" s="36">
        <v>1</v>
      </c>
      <c r="BS46" s="35">
        <f t="shared" si="7"/>
        <v>190</v>
      </c>
      <c r="BU46" s="36">
        <v>423</v>
      </c>
      <c r="BV46" s="36" t="s">
        <v>685</v>
      </c>
      <c r="BW46" s="36">
        <v>37</v>
      </c>
      <c r="BX46" s="36">
        <v>34</v>
      </c>
      <c r="BY46" s="36">
        <v>51</v>
      </c>
      <c r="BZ46" s="36">
        <v>61</v>
      </c>
      <c r="CA46" s="36">
        <v>15</v>
      </c>
      <c r="CB46" s="35">
        <f t="shared" si="8"/>
        <v>198</v>
      </c>
      <c r="CD46" s="36">
        <v>475</v>
      </c>
      <c r="CE46" s="36" t="s">
        <v>660</v>
      </c>
      <c r="CF46" s="36">
        <v>24</v>
      </c>
      <c r="CG46" s="36">
        <v>58</v>
      </c>
      <c r="CH46" s="36">
        <v>85</v>
      </c>
      <c r="CI46" s="36">
        <v>49</v>
      </c>
      <c r="CJ46" s="36">
        <v>14</v>
      </c>
      <c r="CK46" s="35">
        <f t="shared" si="9"/>
        <v>230</v>
      </c>
      <c r="CM46" s="36">
        <v>527</v>
      </c>
      <c r="CN46" s="36" t="s">
        <v>682</v>
      </c>
      <c r="CO46" s="36">
        <v>9</v>
      </c>
      <c r="CP46" s="36">
        <v>41</v>
      </c>
      <c r="CQ46" s="36">
        <v>25</v>
      </c>
      <c r="CR46" s="36">
        <v>26</v>
      </c>
      <c r="CS46" s="36">
        <v>32</v>
      </c>
      <c r="CT46" s="35">
        <f t="shared" si="10"/>
        <v>133</v>
      </c>
      <c r="CV46" s="36">
        <v>580</v>
      </c>
      <c r="CW46" s="36" t="s">
        <v>414</v>
      </c>
      <c r="CX46" s="36">
        <v>16</v>
      </c>
      <c r="CY46" s="36">
        <v>79</v>
      </c>
      <c r="CZ46" s="36">
        <v>85</v>
      </c>
      <c r="DA46" s="36">
        <v>54</v>
      </c>
      <c r="DB46" s="36">
        <v>82</v>
      </c>
      <c r="DC46" s="35">
        <f t="shared" si="11"/>
        <v>316</v>
      </c>
    </row>
    <row r="47" spans="10:116" ht="18" x14ac:dyDescent="0.2">
      <c r="J47" s="34">
        <v>59</v>
      </c>
      <c r="K47" s="34" t="s">
        <v>689</v>
      </c>
      <c r="L47" s="34">
        <v>57</v>
      </c>
      <c r="M47" s="34">
        <v>18</v>
      </c>
      <c r="N47" s="34">
        <v>24</v>
      </c>
      <c r="O47" s="34">
        <v>62</v>
      </c>
      <c r="P47" s="34">
        <v>16</v>
      </c>
      <c r="Q47" s="35">
        <f t="shared" si="1"/>
        <v>177</v>
      </c>
      <c r="S47" s="34">
        <v>111</v>
      </c>
      <c r="T47" s="34" t="s">
        <v>690</v>
      </c>
      <c r="U47" s="34">
        <v>26</v>
      </c>
      <c r="V47" s="34">
        <v>82</v>
      </c>
      <c r="W47" s="34">
        <v>63</v>
      </c>
      <c r="X47" s="34">
        <v>90</v>
      </c>
      <c r="Y47" s="34">
        <v>53</v>
      </c>
      <c r="Z47" s="35">
        <f t="shared" si="2"/>
        <v>314</v>
      </c>
      <c r="AB47" s="34">
        <v>163</v>
      </c>
      <c r="AC47" s="34" t="s">
        <v>691</v>
      </c>
      <c r="AD47" s="34">
        <v>72</v>
      </c>
      <c r="AE47" s="34">
        <v>73</v>
      </c>
      <c r="AF47" s="34">
        <v>8</v>
      </c>
      <c r="AG47" s="34">
        <v>21</v>
      </c>
      <c r="AH47" s="34">
        <v>48</v>
      </c>
      <c r="AI47" s="35">
        <f t="shared" si="3"/>
        <v>222</v>
      </c>
      <c r="AK47" s="34">
        <v>215</v>
      </c>
      <c r="AL47" s="34" t="s">
        <v>692</v>
      </c>
      <c r="AM47" s="34">
        <v>36</v>
      </c>
      <c r="AN47" s="34">
        <v>69</v>
      </c>
      <c r="AO47" s="34">
        <v>71</v>
      </c>
      <c r="AP47" s="34">
        <v>65</v>
      </c>
      <c r="AQ47" s="34">
        <v>80</v>
      </c>
      <c r="AR47" s="35">
        <f t="shared" si="4"/>
        <v>321</v>
      </c>
      <c r="AT47" s="34">
        <v>268</v>
      </c>
      <c r="AU47" s="34" t="s">
        <v>693</v>
      </c>
      <c r="AV47" s="34">
        <v>53</v>
      </c>
      <c r="AW47" s="34">
        <v>57</v>
      </c>
      <c r="AX47" s="34">
        <v>81</v>
      </c>
      <c r="AY47" s="34">
        <v>62</v>
      </c>
      <c r="AZ47" s="34">
        <v>56</v>
      </c>
      <c r="BA47" s="35">
        <f t="shared" si="5"/>
        <v>309</v>
      </c>
      <c r="BC47" s="34">
        <v>320</v>
      </c>
      <c r="BD47" s="34" t="s">
        <v>689</v>
      </c>
      <c r="BE47" s="34">
        <v>40</v>
      </c>
      <c r="BF47" s="34">
        <v>12</v>
      </c>
      <c r="BG47" s="34">
        <v>33</v>
      </c>
      <c r="BH47" s="34">
        <v>55</v>
      </c>
      <c r="BI47" s="34">
        <v>69</v>
      </c>
      <c r="BJ47" s="35">
        <f t="shared" si="6"/>
        <v>209</v>
      </c>
      <c r="BL47" s="34">
        <v>372</v>
      </c>
      <c r="BM47" s="34" t="s">
        <v>694</v>
      </c>
      <c r="BN47" s="34">
        <v>8</v>
      </c>
      <c r="BO47" s="34">
        <v>61</v>
      </c>
      <c r="BP47" s="34">
        <v>69</v>
      </c>
      <c r="BQ47" s="34">
        <v>43</v>
      </c>
      <c r="BR47" s="34">
        <v>45</v>
      </c>
      <c r="BS47" s="35">
        <f t="shared" si="7"/>
        <v>226</v>
      </c>
      <c r="BU47" s="34">
        <v>424</v>
      </c>
      <c r="BV47" s="34" t="s">
        <v>690</v>
      </c>
      <c r="BW47" s="34">
        <v>72</v>
      </c>
      <c r="BX47" s="34">
        <v>36</v>
      </c>
      <c r="BY47" s="34">
        <v>58</v>
      </c>
      <c r="BZ47" s="34">
        <v>62</v>
      </c>
      <c r="CA47" s="34">
        <v>29</v>
      </c>
      <c r="CB47" s="35">
        <f t="shared" si="8"/>
        <v>257</v>
      </c>
      <c r="CD47" s="34">
        <v>476</v>
      </c>
      <c r="CE47" s="34" t="s">
        <v>691</v>
      </c>
      <c r="CF47" s="34">
        <v>12</v>
      </c>
      <c r="CG47" s="34">
        <v>61</v>
      </c>
      <c r="CH47" s="34">
        <v>36</v>
      </c>
      <c r="CI47" s="34">
        <v>47</v>
      </c>
      <c r="CJ47" s="34">
        <v>75</v>
      </c>
      <c r="CK47" s="35">
        <f t="shared" si="9"/>
        <v>231</v>
      </c>
      <c r="CM47" s="34">
        <v>528</v>
      </c>
      <c r="CN47" s="34" t="s">
        <v>687</v>
      </c>
      <c r="CO47" s="34">
        <v>53</v>
      </c>
      <c r="CP47" s="34">
        <v>9</v>
      </c>
      <c r="CQ47" s="34">
        <v>49</v>
      </c>
      <c r="CR47" s="34">
        <v>64</v>
      </c>
      <c r="CS47" s="34">
        <v>17</v>
      </c>
      <c r="CT47" s="35">
        <f t="shared" si="10"/>
        <v>192</v>
      </c>
      <c r="CV47" s="34">
        <v>581</v>
      </c>
      <c r="CW47" s="34" t="s">
        <v>422</v>
      </c>
      <c r="CX47" s="34">
        <v>9</v>
      </c>
      <c r="CY47" s="34">
        <v>8</v>
      </c>
      <c r="CZ47" s="34">
        <v>11</v>
      </c>
      <c r="DA47" s="34">
        <v>60</v>
      </c>
      <c r="DB47" s="34">
        <v>39</v>
      </c>
      <c r="DC47" s="35">
        <f t="shared" si="11"/>
        <v>127</v>
      </c>
    </row>
    <row r="48" spans="10:116" ht="18" x14ac:dyDescent="0.2">
      <c r="J48" s="36">
        <v>60</v>
      </c>
      <c r="K48" s="36" t="s">
        <v>695</v>
      </c>
      <c r="L48" s="36">
        <v>69</v>
      </c>
      <c r="M48" s="36">
        <v>88</v>
      </c>
      <c r="N48" s="36">
        <v>86</v>
      </c>
      <c r="O48" s="36">
        <v>5</v>
      </c>
      <c r="P48" s="36">
        <v>34</v>
      </c>
      <c r="Q48" s="35">
        <f t="shared" si="1"/>
        <v>282</v>
      </c>
      <c r="S48" s="36">
        <v>112</v>
      </c>
      <c r="T48" s="36" t="s">
        <v>696</v>
      </c>
      <c r="U48" s="36">
        <v>39</v>
      </c>
      <c r="V48" s="36">
        <v>58</v>
      </c>
      <c r="W48" s="36">
        <v>7</v>
      </c>
      <c r="X48" s="36">
        <v>34</v>
      </c>
      <c r="Y48" s="36">
        <v>82</v>
      </c>
      <c r="Z48" s="35">
        <f t="shared" si="2"/>
        <v>220</v>
      </c>
      <c r="AB48" s="36">
        <v>164</v>
      </c>
      <c r="AC48" s="36" t="s">
        <v>697</v>
      </c>
      <c r="AD48" s="36">
        <v>72</v>
      </c>
      <c r="AE48" s="36">
        <v>54</v>
      </c>
      <c r="AF48" s="36">
        <v>59</v>
      </c>
      <c r="AG48" s="36">
        <v>79</v>
      </c>
      <c r="AH48" s="36">
        <v>17</v>
      </c>
      <c r="AI48" s="35">
        <f t="shared" si="3"/>
        <v>281</v>
      </c>
      <c r="AK48" s="36">
        <v>216</v>
      </c>
      <c r="AL48" s="36" t="s">
        <v>698</v>
      </c>
      <c r="AM48" s="36">
        <v>48</v>
      </c>
      <c r="AN48" s="36">
        <v>10</v>
      </c>
      <c r="AO48" s="36">
        <v>58</v>
      </c>
      <c r="AP48" s="36">
        <v>18</v>
      </c>
      <c r="AQ48" s="36">
        <v>26</v>
      </c>
      <c r="AR48" s="35">
        <f t="shared" si="4"/>
        <v>160</v>
      </c>
      <c r="AT48" s="36">
        <v>269</v>
      </c>
      <c r="AU48" s="36" t="s">
        <v>699</v>
      </c>
      <c r="AV48" s="36">
        <v>61</v>
      </c>
      <c r="AW48" s="36">
        <v>31</v>
      </c>
      <c r="AX48" s="36">
        <v>1</v>
      </c>
      <c r="AY48" s="36">
        <v>27</v>
      </c>
      <c r="AZ48" s="36">
        <v>23</v>
      </c>
      <c r="BA48" s="35">
        <f t="shared" si="5"/>
        <v>143</v>
      </c>
      <c r="BC48" s="36">
        <v>321</v>
      </c>
      <c r="BD48" s="36" t="s">
        <v>695</v>
      </c>
      <c r="BE48" s="36">
        <v>41</v>
      </c>
      <c r="BF48" s="36">
        <v>36</v>
      </c>
      <c r="BG48" s="36">
        <v>37</v>
      </c>
      <c r="BH48" s="36">
        <v>85</v>
      </c>
      <c r="BI48" s="36">
        <v>2</v>
      </c>
      <c r="BJ48" s="35">
        <f t="shared" si="6"/>
        <v>201</v>
      </c>
      <c r="BL48" s="36">
        <v>373</v>
      </c>
      <c r="BM48" s="36" t="s">
        <v>700</v>
      </c>
      <c r="BN48" s="36">
        <v>61</v>
      </c>
      <c r="BO48" s="36">
        <v>26</v>
      </c>
      <c r="BP48" s="36">
        <v>71</v>
      </c>
      <c r="BQ48" s="36">
        <v>60</v>
      </c>
      <c r="BR48" s="36">
        <v>28</v>
      </c>
      <c r="BS48" s="35">
        <f t="shared" si="7"/>
        <v>246</v>
      </c>
      <c r="BU48" s="36">
        <v>425</v>
      </c>
      <c r="BV48" s="36" t="s">
        <v>696</v>
      </c>
      <c r="BW48" s="36">
        <v>23</v>
      </c>
      <c r="BX48" s="36">
        <v>3</v>
      </c>
      <c r="BY48" s="36">
        <v>75</v>
      </c>
      <c r="BZ48" s="36">
        <v>71</v>
      </c>
      <c r="CA48" s="36">
        <v>54</v>
      </c>
      <c r="CB48" s="35">
        <f t="shared" si="8"/>
        <v>226</v>
      </c>
      <c r="CD48" s="36">
        <v>477</v>
      </c>
      <c r="CE48" s="36" t="s">
        <v>697</v>
      </c>
      <c r="CF48" s="36">
        <v>1</v>
      </c>
      <c r="CG48" s="36">
        <v>48</v>
      </c>
      <c r="CH48" s="36">
        <v>27</v>
      </c>
      <c r="CI48" s="36">
        <v>54</v>
      </c>
      <c r="CJ48" s="36">
        <v>16</v>
      </c>
      <c r="CK48" s="35">
        <f t="shared" si="9"/>
        <v>146</v>
      </c>
      <c r="CM48" s="36">
        <v>529</v>
      </c>
      <c r="CN48" s="36" t="s">
        <v>693</v>
      </c>
      <c r="CO48" s="36">
        <v>58</v>
      </c>
      <c r="CP48" s="36">
        <v>74</v>
      </c>
      <c r="CQ48" s="36">
        <v>15</v>
      </c>
      <c r="CR48" s="36">
        <v>12</v>
      </c>
      <c r="CS48" s="36">
        <v>80</v>
      </c>
      <c r="CT48" s="35">
        <f t="shared" si="10"/>
        <v>239</v>
      </c>
      <c r="CV48" s="36">
        <v>582</v>
      </c>
      <c r="CW48" s="36" t="s">
        <v>430</v>
      </c>
      <c r="CX48" s="36">
        <v>69</v>
      </c>
      <c r="CY48" s="36">
        <v>24</v>
      </c>
      <c r="CZ48" s="36">
        <v>58</v>
      </c>
      <c r="DA48" s="36">
        <v>68</v>
      </c>
      <c r="DB48" s="36">
        <v>12</v>
      </c>
      <c r="DC48" s="35">
        <f t="shared" si="11"/>
        <v>231</v>
      </c>
    </row>
    <row r="49" spans="1:116" ht="18" x14ac:dyDescent="0.2">
      <c r="J49" s="34">
        <v>61</v>
      </c>
      <c r="K49" s="34" t="s">
        <v>701</v>
      </c>
      <c r="L49" s="34">
        <v>43</v>
      </c>
      <c r="M49" s="34">
        <v>24</v>
      </c>
      <c r="N49" s="34">
        <v>6</v>
      </c>
      <c r="O49" s="34">
        <v>47</v>
      </c>
      <c r="P49" s="34">
        <v>15</v>
      </c>
      <c r="Q49" s="35">
        <f t="shared" si="1"/>
        <v>135</v>
      </c>
      <c r="S49" s="34">
        <v>113</v>
      </c>
      <c r="T49" s="34" t="s">
        <v>702</v>
      </c>
      <c r="U49" s="34">
        <v>4</v>
      </c>
      <c r="V49" s="34">
        <v>20</v>
      </c>
      <c r="W49" s="34">
        <v>89</v>
      </c>
      <c r="X49" s="34">
        <v>24</v>
      </c>
      <c r="Y49" s="34">
        <v>84</v>
      </c>
      <c r="Z49" s="35">
        <f t="shared" si="2"/>
        <v>221</v>
      </c>
      <c r="AB49" s="34">
        <v>165</v>
      </c>
      <c r="AC49" s="34" t="s">
        <v>703</v>
      </c>
      <c r="AD49" s="34">
        <v>53</v>
      </c>
      <c r="AE49" s="34">
        <v>75</v>
      </c>
      <c r="AF49" s="34">
        <v>56</v>
      </c>
      <c r="AG49" s="34">
        <v>51</v>
      </c>
      <c r="AH49" s="34">
        <v>12</v>
      </c>
      <c r="AI49" s="35">
        <f t="shared" si="3"/>
        <v>247</v>
      </c>
      <c r="AK49" s="34">
        <v>217</v>
      </c>
      <c r="AL49" s="34" t="s">
        <v>704</v>
      </c>
      <c r="AM49" s="34">
        <v>5</v>
      </c>
      <c r="AN49" s="34">
        <v>26</v>
      </c>
      <c r="AO49" s="34">
        <v>40</v>
      </c>
      <c r="AP49" s="34">
        <v>29</v>
      </c>
      <c r="AQ49" s="34">
        <v>13</v>
      </c>
      <c r="AR49" s="35">
        <f t="shared" si="4"/>
        <v>113</v>
      </c>
      <c r="AT49" s="34">
        <v>270</v>
      </c>
      <c r="AU49" s="34" t="s">
        <v>705</v>
      </c>
      <c r="AV49" s="34">
        <v>89</v>
      </c>
      <c r="AW49" s="34">
        <v>68</v>
      </c>
      <c r="AX49" s="34">
        <v>20</v>
      </c>
      <c r="AY49" s="34">
        <v>84</v>
      </c>
      <c r="AZ49" s="34">
        <v>76</v>
      </c>
      <c r="BA49" s="35">
        <f t="shared" si="5"/>
        <v>337</v>
      </c>
      <c r="BC49" s="34">
        <v>322</v>
      </c>
      <c r="BD49" s="34" t="s">
        <v>701</v>
      </c>
      <c r="BE49" s="34">
        <v>64</v>
      </c>
      <c r="BF49" s="34">
        <v>16</v>
      </c>
      <c r="BG49" s="34">
        <v>70</v>
      </c>
      <c r="BH49" s="34">
        <v>54</v>
      </c>
      <c r="BI49" s="34">
        <v>1</v>
      </c>
      <c r="BJ49" s="35">
        <f t="shared" si="6"/>
        <v>205</v>
      </c>
      <c r="BL49" s="34">
        <v>374</v>
      </c>
      <c r="BM49" s="34" t="s">
        <v>706</v>
      </c>
      <c r="BN49" s="34">
        <v>34</v>
      </c>
      <c r="BO49" s="34">
        <v>35</v>
      </c>
      <c r="BP49" s="34">
        <v>71</v>
      </c>
      <c r="BQ49" s="34">
        <v>8</v>
      </c>
      <c r="BR49" s="34">
        <v>70</v>
      </c>
      <c r="BS49" s="35">
        <f t="shared" si="7"/>
        <v>218</v>
      </c>
      <c r="BU49" s="34">
        <v>426</v>
      </c>
      <c r="BV49" s="34" t="s">
        <v>702</v>
      </c>
      <c r="BW49" s="34">
        <v>45</v>
      </c>
      <c r="BX49" s="34">
        <v>90</v>
      </c>
      <c r="BY49" s="34">
        <v>54</v>
      </c>
      <c r="BZ49" s="34">
        <v>56</v>
      </c>
      <c r="CA49" s="34">
        <v>89</v>
      </c>
      <c r="CB49" s="35">
        <f t="shared" si="8"/>
        <v>334</v>
      </c>
      <c r="CD49" s="34">
        <v>478</v>
      </c>
      <c r="CE49" s="34" t="s">
        <v>703</v>
      </c>
      <c r="CF49" s="34">
        <v>14</v>
      </c>
      <c r="CG49" s="34">
        <v>43</v>
      </c>
      <c r="CH49" s="34">
        <v>27</v>
      </c>
      <c r="CI49" s="34">
        <v>39</v>
      </c>
      <c r="CJ49" s="34">
        <v>71</v>
      </c>
      <c r="CK49" s="35">
        <f t="shared" si="9"/>
        <v>194</v>
      </c>
      <c r="CM49" s="34">
        <v>530</v>
      </c>
      <c r="CN49" s="34" t="s">
        <v>699</v>
      </c>
      <c r="CO49" s="34">
        <v>79</v>
      </c>
      <c r="CP49" s="34">
        <v>40</v>
      </c>
      <c r="CQ49" s="34">
        <v>38</v>
      </c>
      <c r="CR49" s="34">
        <v>63</v>
      </c>
      <c r="CS49" s="34">
        <v>50</v>
      </c>
      <c r="CT49" s="35">
        <f t="shared" si="10"/>
        <v>270</v>
      </c>
      <c r="CV49" s="34">
        <v>583</v>
      </c>
      <c r="CW49" s="34" t="s">
        <v>438</v>
      </c>
      <c r="CX49" s="34">
        <v>2</v>
      </c>
      <c r="CY49" s="34">
        <v>13</v>
      </c>
      <c r="CZ49" s="34">
        <v>79</v>
      </c>
      <c r="DA49" s="34">
        <v>86</v>
      </c>
      <c r="DB49" s="34">
        <v>82</v>
      </c>
      <c r="DC49" s="35">
        <f t="shared" si="11"/>
        <v>262</v>
      </c>
    </row>
    <row r="50" spans="1:116" ht="18" x14ac:dyDescent="0.2">
      <c r="J50" s="36">
        <v>62</v>
      </c>
      <c r="K50" s="36" t="s">
        <v>707</v>
      </c>
      <c r="L50" s="36">
        <v>48</v>
      </c>
      <c r="M50" s="36">
        <v>13</v>
      </c>
      <c r="N50" s="36">
        <v>17</v>
      </c>
      <c r="O50" s="36">
        <v>19</v>
      </c>
      <c r="P50" s="36">
        <v>65</v>
      </c>
      <c r="Q50" s="35">
        <f t="shared" si="1"/>
        <v>162</v>
      </c>
      <c r="S50" s="36">
        <v>114</v>
      </c>
      <c r="T50" s="36" t="s">
        <v>708</v>
      </c>
      <c r="U50" s="36">
        <v>76</v>
      </c>
      <c r="V50" s="36">
        <v>18</v>
      </c>
      <c r="W50" s="36">
        <v>23</v>
      </c>
      <c r="X50" s="36">
        <v>44</v>
      </c>
      <c r="Y50" s="36">
        <v>41</v>
      </c>
      <c r="Z50" s="35">
        <f t="shared" si="2"/>
        <v>202</v>
      </c>
      <c r="AB50" s="36">
        <v>166</v>
      </c>
      <c r="AC50" s="36" t="s">
        <v>709</v>
      </c>
      <c r="AD50" s="36">
        <v>33</v>
      </c>
      <c r="AE50" s="36">
        <v>85</v>
      </c>
      <c r="AF50" s="36">
        <v>68</v>
      </c>
      <c r="AG50" s="36">
        <v>56</v>
      </c>
      <c r="AH50" s="36">
        <v>4</v>
      </c>
      <c r="AI50" s="35">
        <f t="shared" si="3"/>
        <v>246</v>
      </c>
      <c r="AK50" s="36">
        <v>218</v>
      </c>
      <c r="AL50" s="36" t="s">
        <v>710</v>
      </c>
      <c r="AM50" s="36">
        <v>18</v>
      </c>
      <c r="AN50" s="36">
        <v>54</v>
      </c>
      <c r="AO50" s="36">
        <v>89</v>
      </c>
      <c r="AP50" s="36">
        <v>39</v>
      </c>
      <c r="AQ50" s="36">
        <v>66</v>
      </c>
      <c r="AR50" s="35">
        <f t="shared" si="4"/>
        <v>266</v>
      </c>
      <c r="AT50" s="36">
        <v>271</v>
      </c>
      <c r="AU50" s="36" t="s">
        <v>711</v>
      </c>
      <c r="AV50" s="36">
        <v>71</v>
      </c>
      <c r="AW50" s="36">
        <v>61</v>
      </c>
      <c r="AX50" s="36">
        <v>26</v>
      </c>
      <c r="AY50" s="36">
        <v>21</v>
      </c>
      <c r="AZ50" s="36">
        <v>1</v>
      </c>
      <c r="BA50" s="35">
        <f t="shared" si="5"/>
        <v>180</v>
      </c>
      <c r="BC50" s="36">
        <v>323</v>
      </c>
      <c r="BD50" s="36" t="s">
        <v>707</v>
      </c>
      <c r="BE50" s="36">
        <v>8</v>
      </c>
      <c r="BF50" s="36">
        <v>57</v>
      </c>
      <c r="BG50" s="36">
        <v>38</v>
      </c>
      <c r="BH50" s="36">
        <v>79</v>
      </c>
      <c r="BI50" s="36">
        <v>13</v>
      </c>
      <c r="BJ50" s="35">
        <f t="shared" si="6"/>
        <v>195</v>
      </c>
      <c r="BL50" s="36">
        <v>375</v>
      </c>
      <c r="BM50" s="36" t="s">
        <v>712</v>
      </c>
      <c r="BN50" s="36">
        <v>47</v>
      </c>
      <c r="BO50" s="36">
        <v>24</v>
      </c>
      <c r="BP50" s="36">
        <v>78</v>
      </c>
      <c r="BQ50" s="36">
        <v>48</v>
      </c>
      <c r="BR50" s="36">
        <v>36</v>
      </c>
      <c r="BS50" s="35">
        <f t="shared" si="7"/>
        <v>233</v>
      </c>
      <c r="BU50" s="36">
        <v>427</v>
      </c>
      <c r="BV50" s="36" t="s">
        <v>708</v>
      </c>
      <c r="BW50" s="36">
        <v>15</v>
      </c>
      <c r="BX50" s="36">
        <v>4</v>
      </c>
      <c r="BY50" s="36">
        <v>1</v>
      </c>
      <c r="BZ50" s="36">
        <v>63</v>
      </c>
      <c r="CA50" s="36">
        <v>70</v>
      </c>
      <c r="CB50" s="35">
        <f t="shared" si="8"/>
        <v>153</v>
      </c>
      <c r="CD50" s="36">
        <v>479</v>
      </c>
      <c r="CE50" s="36" t="s">
        <v>709</v>
      </c>
      <c r="CF50" s="36">
        <v>82</v>
      </c>
      <c r="CG50" s="36">
        <v>29</v>
      </c>
      <c r="CH50" s="36">
        <v>45</v>
      </c>
      <c r="CI50" s="36">
        <v>77</v>
      </c>
      <c r="CJ50" s="36">
        <v>4</v>
      </c>
      <c r="CK50" s="35">
        <f t="shared" si="9"/>
        <v>237</v>
      </c>
      <c r="CM50" s="36">
        <v>531</v>
      </c>
      <c r="CN50" s="36" t="s">
        <v>705</v>
      </c>
      <c r="CO50" s="36">
        <v>48</v>
      </c>
      <c r="CP50" s="36">
        <v>21</v>
      </c>
      <c r="CQ50" s="36">
        <v>83</v>
      </c>
      <c r="CR50" s="36">
        <v>53</v>
      </c>
      <c r="CS50" s="36">
        <v>50</v>
      </c>
      <c r="CT50" s="35">
        <f t="shared" si="10"/>
        <v>255</v>
      </c>
      <c r="CV50" s="36">
        <v>584</v>
      </c>
      <c r="CW50" s="36" t="s">
        <v>447</v>
      </c>
      <c r="CX50" s="36">
        <v>69</v>
      </c>
      <c r="CY50" s="36">
        <v>28</v>
      </c>
      <c r="CZ50" s="36">
        <v>85</v>
      </c>
      <c r="DA50" s="36">
        <v>48</v>
      </c>
      <c r="DB50" s="36">
        <v>52</v>
      </c>
      <c r="DC50" s="35">
        <f t="shared" si="11"/>
        <v>282</v>
      </c>
    </row>
    <row r="51" spans="1:116" ht="18" x14ac:dyDescent="0.2">
      <c r="J51" s="34">
        <v>63</v>
      </c>
      <c r="K51" s="34" t="s">
        <v>713</v>
      </c>
      <c r="L51" s="34">
        <v>16</v>
      </c>
      <c r="M51" s="34">
        <v>51</v>
      </c>
      <c r="N51" s="34">
        <v>2</v>
      </c>
      <c r="O51" s="34">
        <v>4</v>
      </c>
      <c r="P51" s="34">
        <v>74</v>
      </c>
      <c r="Q51" s="35">
        <f t="shared" si="1"/>
        <v>147</v>
      </c>
      <c r="S51" s="34">
        <v>115</v>
      </c>
      <c r="T51" s="34" t="s">
        <v>714</v>
      </c>
      <c r="U51" s="34">
        <v>63</v>
      </c>
      <c r="V51" s="34">
        <v>20</v>
      </c>
      <c r="W51" s="34">
        <v>21</v>
      </c>
      <c r="X51" s="34">
        <v>89</v>
      </c>
      <c r="Y51" s="34">
        <v>11</v>
      </c>
      <c r="Z51" s="35">
        <f t="shared" si="2"/>
        <v>204</v>
      </c>
      <c r="AB51" s="34">
        <v>167</v>
      </c>
      <c r="AC51" s="34" t="s">
        <v>715</v>
      </c>
      <c r="AD51" s="34">
        <v>1</v>
      </c>
      <c r="AE51" s="34">
        <v>30</v>
      </c>
      <c r="AF51" s="34">
        <v>28</v>
      </c>
      <c r="AG51" s="34">
        <v>26</v>
      </c>
      <c r="AH51" s="34">
        <v>64</v>
      </c>
      <c r="AI51" s="35">
        <f t="shared" si="3"/>
        <v>149</v>
      </c>
      <c r="AK51" s="34">
        <v>219</v>
      </c>
      <c r="AL51" s="34" t="s">
        <v>716</v>
      </c>
      <c r="AM51" s="34">
        <v>89</v>
      </c>
      <c r="AN51" s="34">
        <v>87</v>
      </c>
      <c r="AO51" s="34">
        <v>17</v>
      </c>
      <c r="AP51" s="34">
        <v>46</v>
      </c>
      <c r="AQ51" s="34">
        <v>45</v>
      </c>
      <c r="AR51" s="35">
        <f t="shared" si="4"/>
        <v>284</v>
      </c>
      <c r="AT51" s="34">
        <v>272</v>
      </c>
      <c r="AU51" s="34" t="s">
        <v>717</v>
      </c>
      <c r="AV51" s="34">
        <v>73</v>
      </c>
      <c r="AW51" s="34">
        <v>14</v>
      </c>
      <c r="AX51" s="34">
        <v>47</v>
      </c>
      <c r="AY51" s="34">
        <v>5</v>
      </c>
      <c r="AZ51" s="34">
        <v>50</v>
      </c>
      <c r="BA51" s="35">
        <f t="shared" si="5"/>
        <v>189</v>
      </c>
      <c r="BC51" s="34">
        <v>324</v>
      </c>
      <c r="BD51" s="34" t="s">
        <v>713</v>
      </c>
      <c r="BE51" s="34">
        <v>32</v>
      </c>
      <c r="BF51" s="34">
        <v>41</v>
      </c>
      <c r="BG51" s="34">
        <v>6</v>
      </c>
      <c r="BH51" s="34">
        <v>68</v>
      </c>
      <c r="BI51" s="34">
        <v>70</v>
      </c>
      <c r="BJ51" s="35">
        <f t="shared" si="6"/>
        <v>217</v>
      </c>
      <c r="BL51" s="34">
        <v>376</v>
      </c>
      <c r="BM51" s="34" t="s">
        <v>718</v>
      </c>
      <c r="BN51" s="34">
        <v>55</v>
      </c>
      <c r="BO51" s="34">
        <v>85</v>
      </c>
      <c r="BP51" s="34">
        <v>32</v>
      </c>
      <c r="BQ51" s="34">
        <v>64</v>
      </c>
      <c r="BR51" s="34">
        <v>88</v>
      </c>
      <c r="BS51" s="35">
        <f t="shared" si="7"/>
        <v>324</v>
      </c>
      <c r="BU51" s="34">
        <v>428</v>
      </c>
      <c r="BV51" s="34" t="s">
        <v>714</v>
      </c>
      <c r="BW51" s="34">
        <v>90</v>
      </c>
      <c r="BX51" s="34">
        <v>44</v>
      </c>
      <c r="BY51" s="34">
        <v>85</v>
      </c>
      <c r="BZ51" s="34">
        <v>41</v>
      </c>
      <c r="CA51" s="34">
        <v>4</v>
      </c>
      <c r="CB51" s="35">
        <f t="shared" si="8"/>
        <v>264</v>
      </c>
      <c r="CD51" s="34">
        <v>480</v>
      </c>
      <c r="CE51" s="34" t="s">
        <v>715</v>
      </c>
      <c r="CF51" s="34">
        <v>25</v>
      </c>
      <c r="CG51" s="34">
        <v>1</v>
      </c>
      <c r="CH51" s="34">
        <v>44</v>
      </c>
      <c r="CI51" s="34">
        <v>23</v>
      </c>
      <c r="CJ51" s="34">
        <v>71</v>
      </c>
      <c r="CK51" s="35">
        <f t="shared" si="9"/>
        <v>164</v>
      </c>
      <c r="CM51" s="34">
        <v>532</v>
      </c>
      <c r="CN51" s="34" t="s">
        <v>711</v>
      </c>
      <c r="CO51" s="34">
        <v>12</v>
      </c>
      <c r="CP51" s="34">
        <v>24</v>
      </c>
      <c r="CQ51" s="34">
        <v>32</v>
      </c>
      <c r="CR51" s="34">
        <v>45</v>
      </c>
      <c r="CS51" s="34">
        <v>63</v>
      </c>
      <c r="CT51" s="35">
        <f t="shared" si="10"/>
        <v>176</v>
      </c>
      <c r="CV51" s="34">
        <v>585</v>
      </c>
      <c r="CW51" s="34" t="s">
        <v>454</v>
      </c>
      <c r="CX51" s="34">
        <v>71</v>
      </c>
      <c r="CY51" s="34">
        <v>33</v>
      </c>
      <c r="CZ51" s="34">
        <v>53</v>
      </c>
      <c r="DA51" s="34">
        <v>68</v>
      </c>
      <c r="DB51" s="34">
        <v>11</v>
      </c>
      <c r="DC51" s="35">
        <f t="shared" si="11"/>
        <v>236</v>
      </c>
    </row>
    <row r="52" spans="1:116" ht="18" x14ac:dyDescent="0.2">
      <c r="J52" s="36">
        <v>64</v>
      </c>
      <c r="K52" s="36" t="s">
        <v>719</v>
      </c>
      <c r="L52" s="36">
        <v>14</v>
      </c>
      <c r="M52" s="36">
        <v>40</v>
      </c>
      <c r="N52" s="36">
        <v>2</v>
      </c>
      <c r="O52" s="36">
        <v>3</v>
      </c>
      <c r="P52" s="36">
        <v>10</v>
      </c>
      <c r="Q52" s="35">
        <f t="shared" si="1"/>
        <v>69</v>
      </c>
      <c r="S52" s="36">
        <v>116</v>
      </c>
      <c r="T52" s="36" t="s">
        <v>720</v>
      </c>
      <c r="U52" s="36">
        <v>26</v>
      </c>
      <c r="V52" s="36">
        <v>83</v>
      </c>
      <c r="W52" s="36">
        <v>10</v>
      </c>
      <c r="X52" s="36">
        <v>90</v>
      </c>
      <c r="Y52" s="36">
        <v>49</v>
      </c>
      <c r="Z52" s="35">
        <f t="shared" si="2"/>
        <v>258</v>
      </c>
      <c r="AB52" s="36">
        <v>168</v>
      </c>
      <c r="AC52" s="36" t="s">
        <v>721</v>
      </c>
      <c r="AD52" s="36">
        <v>85</v>
      </c>
      <c r="AE52" s="36">
        <v>54</v>
      </c>
      <c r="AF52" s="36">
        <v>51</v>
      </c>
      <c r="AG52" s="36">
        <v>35</v>
      </c>
      <c r="AH52" s="36">
        <v>39</v>
      </c>
      <c r="AI52" s="35">
        <f t="shared" si="3"/>
        <v>264</v>
      </c>
      <c r="AK52" s="36">
        <v>220</v>
      </c>
      <c r="AL52" s="36" t="s">
        <v>722</v>
      </c>
      <c r="AM52" s="36">
        <v>30</v>
      </c>
      <c r="AN52" s="36">
        <v>13</v>
      </c>
      <c r="AO52" s="36">
        <v>76</v>
      </c>
      <c r="AP52" s="36">
        <v>90</v>
      </c>
      <c r="AQ52" s="36">
        <v>78</v>
      </c>
      <c r="AR52" s="35">
        <f t="shared" si="4"/>
        <v>287</v>
      </c>
      <c r="AT52" s="36">
        <v>273</v>
      </c>
      <c r="AU52" s="36" t="s">
        <v>723</v>
      </c>
      <c r="AV52" s="36">
        <v>26</v>
      </c>
      <c r="AW52" s="36">
        <v>14</v>
      </c>
      <c r="AX52" s="36">
        <v>32</v>
      </c>
      <c r="AY52" s="36">
        <v>63</v>
      </c>
      <c r="AZ52" s="36">
        <v>1</v>
      </c>
      <c r="BA52" s="35">
        <f t="shared" si="5"/>
        <v>136</v>
      </c>
      <c r="BC52" s="36">
        <v>325</v>
      </c>
      <c r="BD52" s="36" t="s">
        <v>719</v>
      </c>
      <c r="BE52" s="36">
        <v>30</v>
      </c>
      <c r="BF52" s="36">
        <v>59</v>
      </c>
      <c r="BG52" s="36">
        <v>52</v>
      </c>
      <c r="BH52" s="36">
        <v>75</v>
      </c>
      <c r="BI52" s="36">
        <v>51</v>
      </c>
      <c r="BJ52" s="35">
        <f t="shared" si="6"/>
        <v>267</v>
      </c>
      <c r="BL52" s="36">
        <v>377</v>
      </c>
      <c r="BM52" s="36" t="s">
        <v>724</v>
      </c>
      <c r="BN52" s="36">
        <v>56</v>
      </c>
      <c r="BO52" s="36">
        <v>67</v>
      </c>
      <c r="BP52" s="36">
        <v>63</v>
      </c>
      <c r="BQ52" s="36">
        <v>77</v>
      </c>
      <c r="BR52" s="36">
        <v>74</v>
      </c>
      <c r="BS52" s="35">
        <f t="shared" si="7"/>
        <v>337</v>
      </c>
      <c r="BU52" s="36">
        <v>429</v>
      </c>
      <c r="BV52" s="36" t="s">
        <v>720</v>
      </c>
      <c r="BW52" s="36">
        <v>41</v>
      </c>
      <c r="BX52" s="36">
        <v>82</v>
      </c>
      <c r="BY52" s="36">
        <v>78</v>
      </c>
      <c r="BZ52" s="36">
        <v>23</v>
      </c>
      <c r="CA52" s="36">
        <v>28</v>
      </c>
      <c r="CB52" s="35">
        <f t="shared" si="8"/>
        <v>252</v>
      </c>
      <c r="CD52" s="36">
        <v>481</v>
      </c>
      <c r="CE52" s="36" t="s">
        <v>721</v>
      </c>
      <c r="CF52" s="36">
        <v>24</v>
      </c>
      <c r="CG52" s="36">
        <v>18</v>
      </c>
      <c r="CH52" s="36">
        <v>25</v>
      </c>
      <c r="CI52" s="36">
        <v>26</v>
      </c>
      <c r="CJ52" s="36">
        <v>57</v>
      </c>
      <c r="CK52" s="35">
        <f t="shared" si="9"/>
        <v>150</v>
      </c>
      <c r="CM52" s="36">
        <v>533</v>
      </c>
      <c r="CN52" s="36" t="s">
        <v>717</v>
      </c>
      <c r="CO52" s="36">
        <v>54</v>
      </c>
      <c r="CP52" s="36">
        <v>41</v>
      </c>
      <c r="CQ52" s="36">
        <v>53</v>
      </c>
      <c r="CR52" s="36">
        <v>83</v>
      </c>
      <c r="CS52" s="36">
        <v>80</v>
      </c>
      <c r="CT52" s="35">
        <f t="shared" si="10"/>
        <v>311</v>
      </c>
      <c r="CV52" s="36">
        <v>586</v>
      </c>
      <c r="CW52" s="36" t="s">
        <v>461</v>
      </c>
      <c r="CX52" s="36">
        <v>75</v>
      </c>
      <c r="CY52" s="36">
        <v>63</v>
      </c>
      <c r="CZ52" s="36">
        <v>8</v>
      </c>
      <c r="DA52" s="36">
        <v>73</v>
      </c>
      <c r="DB52" s="36">
        <v>78</v>
      </c>
      <c r="DC52" s="35">
        <f t="shared" si="11"/>
        <v>297</v>
      </c>
    </row>
    <row r="53" spans="1:116" ht="18" x14ac:dyDescent="0.2">
      <c r="J53" s="34">
        <v>65</v>
      </c>
      <c r="K53" s="34" t="s">
        <v>725</v>
      </c>
      <c r="L53" s="34">
        <v>67</v>
      </c>
      <c r="M53" s="34">
        <v>30</v>
      </c>
      <c r="N53" s="34">
        <v>12</v>
      </c>
      <c r="O53" s="34">
        <v>43</v>
      </c>
      <c r="P53" s="34">
        <v>44</v>
      </c>
      <c r="Q53" s="35">
        <f t="shared" si="1"/>
        <v>196</v>
      </c>
      <c r="S53" s="34">
        <v>117</v>
      </c>
      <c r="T53" s="34" t="s">
        <v>726</v>
      </c>
      <c r="U53" s="34">
        <v>45</v>
      </c>
      <c r="V53" s="34">
        <v>72</v>
      </c>
      <c r="W53" s="34">
        <v>75</v>
      </c>
      <c r="X53" s="34">
        <v>14</v>
      </c>
      <c r="Y53" s="34">
        <v>38</v>
      </c>
      <c r="Z53" s="35">
        <f t="shared" si="2"/>
        <v>244</v>
      </c>
      <c r="AB53" s="34">
        <v>169</v>
      </c>
      <c r="AC53" s="34" t="s">
        <v>727</v>
      </c>
      <c r="AD53" s="34">
        <v>39</v>
      </c>
      <c r="AE53" s="34">
        <v>46</v>
      </c>
      <c r="AF53" s="34">
        <v>51</v>
      </c>
      <c r="AG53" s="34">
        <v>61</v>
      </c>
      <c r="AH53" s="34">
        <v>8</v>
      </c>
      <c r="AI53" s="35">
        <f t="shared" si="3"/>
        <v>205</v>
      </c>
      <c r="AK53" s="34">
        <v>221</v>
      </c>
      <c r="AL53" s="34" t="s">
        <v>728</v>
      </c>
      <c r="AM53" s="34">
        <v>4</v>
      </c>
      <c r="AN53" s="34">
        <v>48</v>
      </c>
      <c r="AO53" s="34">
        <v>38</v>
      </c>
      <c r="AP53" s="34">
        <v>26</v>
      </c>
      <c r="AQ53" s="34">
        <v>18</v>
      </c>
      <c r="AR53" s="35">
        <f t="shared" si="4"/>
        <v>134</v>
      </c>
      <c r="AT53" s="34">
        <v>274</v>
      </c>
      <c r="AU53" s="34" t="s">
        <v>729</v>
      </c>
      <c r="AV53" s="34">
        <v>54</v>
      </c>
      <c r="AW53" s="34">
        <v>80</v>
      </c>
      <c r="AX53" s="34">
        <v>57</v>
      </c>
      <c r="AY53" s="34">
        <v>73</v>
      </c>
      <c r="AZ53" s="34">
        <v>17</v>
      </c>
      <c r="BA53" s="35">
        <f t="shared" si="5"/>
        <v>281</v>
      </c>
      <c r="BC53" s="34">
        <v>326</v>
      </c>
      <c r="BD53" s="34" t="s">
        <v>725</v>
      </c>
      <c r="BE53" s="34">
        <v>18</v>
      </c>
      <c r="BF53" s="34">
        <v>56</v>
      </c>
      <c r="BG53" s="34">
        <v>86</v>
      </c>
      <c r="BH53" s="34">
        <v>78</v>
      </c>
      <c r="BI53" s="34">
        <v>27</v>
      </c>
      <c r="BJ53" s="35">
        <f t="shared" si="6"/>
        <v>265</v>
      </c>
      <c r="BL53" s="34">
        <v>378</v>
      </c>
      <c r="BM53" s="34" t="s">
        <v>730</v>
      </c>
      <c r="BN53" s="34">
        <v>47</v>
      </c>
      <c r="BO53" s="34">
        <v>64</v>
      </c>
      <c r="BP53" s="34">
        <v>78</v>
      </c>
      <c r="BQ53" s="34">
        <v>7</v>
      </c>
      <c r="BR53" s="34">
        <v>27</v>
      </c>
      <c r="BS53" s="35">
        <f t="shared" si="7"/>
        <v>223</v>
      </c>
      <c r="BU53" s="34">
        <v>430</v>
      </c>
      <c r="BV53" s="34" t="s">
        <v>726</v>
      </c>
      <c r="BW53" s="34">
        <v>85</v>
      </c>
      <c r="BX53" s="34">
        <v>80</v>
      </c>
      <c r="BY53" s="34">
        <v>65</v>
      </c>
      <c r="BZ53" s="34">
        <v>82</v>
      </c>
      <c r="CA53" s="34">
        <v>20</v>
      </c>
      <c r="CB53" s="35">
        <f t="shared" si="8"/>
        <v>332</v>
      </c>
      <c r="CD53" s="34">
        <v>482</v>
      </c>
      <c r="CE53" s="34" t="s">
        <v>727</v>
      </c>
      <c r="CF53" s="34">
        <v>50</v>
      </c>
      <c r="CG53" s="34">
        <v>26</v>
      </c>
      <c r="CH53" s="34">
        <v>87</v>
      </c>
      <c r="CI53" s="34">
        <v>28</v>
      </c>
      <c r="CJ53" s="34">
        <v>47</v>
      </c>
      <c r="CK53" s="35">
        <f t="shared" si="9"/>
        <v>238</v>
      </c>
      <c r="CM53" s="34">
        <v>534</v>
      </c>
      <c r="CN53" s="34" t="s">
        <v>723</v>
      </c>
      <c r="CO53" s="34">
        <v>16</v>
      </c>
      <c r="CP53" s="34">
        <v>2</v>
      </c>
      <c r="CQ53" s="34">
        <v>45</v>
      </c>
      <c r="CR53" s="34">
        <v>53</v>
      </c>
      <c r="CS53" s="34">
        <v>88</v>
      </c>
      <c r="CT53" s="35">
        <f t="shared" si="10"/>
        <v>204</v>
      </c>
      <c r="CV53" s="34">
        <v>587</v>
      </c>
      <c r="CW53" s="34" t="s">
        <v>469</v>
      </c>
      <c r="CX53" s="34">
        <v>29</v>
      </c>
      <c r="CY53" s="34">
        <v>55</v>
      </c>
      <c r="CZ53" s="34">
        <v>31</v>
      </c>
      <c r="DA53" s="34">
        <v>41</v>
      </c>
      <c r="DB53" s="34">
        <v>61</v>
      </c>
      <c r="DC53" s="35">
        <f t="shared" si="11"/>
        <v>217</v>
      </c>
    </row>
    <row r="54" spans="1:116" ht="18" x14ac:dyDescent="0.2">
      <c r="J54" s="36">
        <v>66</v>
      </c>
      <c r="K54" s="36" t="s">
        <v>731</v>
      </c>
      <c r="L54" s="36">
        <v>43</v>
      </c>
      <c r="M54" s="36">
        <v>75</v>
      </c>
      <c r="N54" s="36">
        <v>58</v>
      </c>
      <c r="O54" s="36">
        <v>46</v>
      </c>
      <c r="P54" s="36">
        <v>82</v>
      </c>
      <c r="Q54" s="35">
        <f t="shared" si="1"/>
        <v>304</v>
      </c>
      <c r="S54" s="36">
        <v>118</v>
      </c>
      <c r="T54" s="36" t="s">
        <v>732</v>
      </c>
      <c r="U54" s="36">
        <v>52</v>
      </c>
      <c r="V54" s="36">
        <v>17</v>
      </c>
      <c r="W54" s="36">
        <v>83</v>
      </c>
      <c r="X54" s="36">
        <v>84</v>
      </c>
      <c r="Y54" s="36">
        <v>77</v>
      </c>
      <c r="Z54" s="35">
        <f t="shared" si="2"/>
        <v>313</v>
      </c>
      <c r="AB54" s="36">
        <v>170</v>
      </c>
      <c r="AC54" s="36" t="s">
        <v>733</v>
      </c>
      <c r="AD54" s="36">
        <v>15</v>
      </c>
      <c r="AE54" s="36">
        <v>77</v>
      </c>
      <c r="AF54" s="36">
        <v>21</v>
      </c>
      <c r="AG54" s="36">
        <v>82</v>
      </c>
      <c r="AH54" s="36">
        <v>63</v>
      </c>
      <c r="AI54" s="35">
        <f t="shared" si="3"/>
        <v>258</v>
      </c>
      <c r="AK54" s="36">
        <v>222</v>
      </c>
      <c r="AL54" s="36" t="s">
        <v>734</v>
      </c>
      <c r="AM54" s="36">
        <v>22</v>
      </c>
      <c r="AN54" s="36">
        <v>43</v>
      </c>
      <c r="AO54" s="36">
        <v>34</v>
      </c>
      <c r="AP54" s="36">
        <v>32</v>
      </c>
      <c r="AQ54" s="36">
        <v>6</v>
      </c>
      <c r="AR54" s="35">
        <f t="shared" si="4"/>
        <v>137</v>
      </c>
      <c r="AT54" s="36">
        <v>275</v>
      </c>
      <c r="AU54" s="36" t="s">
        <v>735</v>
      </c>
      <c r="AV54" s="36">
        <v>80</v>
      </c>
      <c r="AW54" s="36">
        <v>64</v>
      </c>
      <c r="AX54" s="36">
        <v>32</v>
      </c>
      <c r="AY54" s="36">
        <v>13</v>
      </c>
      <c r="AZ54" s="36">
        <v>22</v>
      </c>
      <c r="BA54" s="35">
        <f t="shared" si="5"/>
        <v>211</v>
      </c>
      <c r="BC54" s="36">
        <v>327</v>
      </c>
      <c r="BD54" s="36" t="s">
        <v>731</v>
      </c>
      <c r="BE54" s="36">
        <v>59</v>
      </c>
      <c r="BF54" s="36">
        <v>16</v>
      </c>
      <c r="BG54" s="36">
        <v>72</v>
      </c>
      <c r="BH54" s="36">
        <v>51</v>
      </c>
      <c r="BI54" s="36">
        <v>36</v>
      </c>
      <c r="BJ54" s="35">
        <f t="shared" si="6"/>
        <v>234</v>
      </c>
      <c r="BL54" s="36">
        <v>379</v>
      </c>
      <c r="BM54" s="36" t="s">
        <v>736</v>
      </c>
      <c r="BN54" s="36">
        <v>36</v>
      </c>
      <c r="BO54" s="36">
        <v>64</v>
      </c>
      <c r="BP54" s="36">
        <v>15</v>
      </c>
      <c r="BQ54" s="36">
        <v>48</v>
      </c>
      <c r="BR54" s="36">
        <v>56</v>
      </c>
      <c r="BS54" s="35">
        <f t="shared" si="7"/>
        <v>219</v>
      </c>
      <c r="BU54" s="36">
        <v>431</v>
      </c>
      <c r="BV54" s="36" t="s">
        <v>732</v>
      </c>
      <c r="BW54" s="36">
        <v>13</v>
      </c>
      <c r="BX54" s="36">
        <v>9</v>
      </c>
      <c r="BY54" s="36">
        <v>8</v>
      </c>
      <c r="BZ54" s="36">
        <v>75</v>
      </c>
      <c r="CA54" s="36">
        <v>79</v>
      </c>
      <c r="CB54" s="35">
        <f t="shared" si="8"/>
        <v>184</v>
      </c>
      <c r="CD54" s="36">
        <v>483</v>
      </c>
      <c r="CE54" s="36" t="s">
        <v>733</v>
      </c>
      <c r="CF54" s="36">
        <v>1</v>
      </c>
      <c r="CG54" s="36">
        <v>56</v>
      </c>
      <c r="CH54" s="36">
        <v>22</v>
      </c>
      <c r="CI54" s="36">
        <v>23</v>
      </c>
      <c r="CJ54" s="36">
        <v>52</v>
      </c>
      <c r="CK54" s="35">
        <f t="shared" si="9"/>
        <v>154</v>
      </c>
      <c r="CM54" s="36">
        <v>535</v>
      </c>
      <c r="CN54" s="36" t="s">
        <v>729</v>
      </c>
      <c r="CO54" s="36">
        <v>85</v>
      </c>
      <c r="CP54" s="36">
        <v>74</v>
      </c>
      <c r="CQ54" s="36">
        <v>65</v>
      </c>
      <c r="CR54" s="36">
        <v>33</v>
      </c>
      <c r="CS54" s="36">
        <v>54</v>
      </c>
      <c r="CT54" s="35">
        <f t="shared" si="10"/>
        <v>311</v>
      </c>
      <c r="CV54" s="36">
        <v>588</v>
      </c>
      <c r="CW54" s="36" t="s">
        <v>477</v>
      </c>
      <c r="CX54" s="36">
        <v>39</v>
      </c>
      <c r="CY54" s="36">
        <v>63</v>
      </c>
      <c r="CZ54" s="36">
        <v>86</v>
      </c>
      <c r="DA54" s="36">
        <v>90</v>
      </c>
      <c r="DB54" s="36">
        <v>25</v>
      </c>
      <c r="DC54" s="35">
        <f t="shared" si="11"/>
        <v>303</v>
      </c>
    </row>
    <row r="55" spans="1:116" ht="18" x14ac:dyDescent="0.2">
      <c r="AK55" s="34">
        <v>223</v>
      </c>
      <c r="AL55" s="34" t="s">
        <v>737</v>
      </c>
      <c r="AM55" s="34">
        <v>31</v>
      </c>
      <c r="AN55" s="34">
        <v>30</v>
      </c>
      <c r="AO55" s="34">
        <v>12</v>
      </c>
      <c r="AP55" s="34">
        <v>18</v>
      </c>
      <c r="AQ55" s="34">
        <v>66</v>
      </c>
      <c r="AR55" s="35">
        <f t="shared" si="4"/>
        <v>157</v>
      </c>
      <c r="CM55" s="34">
        <v>536</v>
      </c>
      <c r="CN55" s="34" t="s">
        <v>735</v>
      </c>
      <c r="CO55" s="34">
        <v>9</v>
      </c>
      <c r="CP55" s="34">
        <v>1</v>
      </c>
      <c r="CQ55" s="34">
        <v>42</v>
      </c>
      <c r="CR55" s="34">
        <v>88</v>
      </c>
      <c r="CS55" s="34">
        <v>89</v>
      </c>
      <c r="CT55" s="35">
        <f t="shared" si="10"/>
        <v>229</v>
      </c>
    </row>
    <row r="56" spans="1:116" ht="18" x14ac:dyDescent="0.2">
      <c r="A56" s="37" t="s">
        <v>738</v>
      </c>
      <c r="B56" s="38"/>
      <c r="C56" s="39">
        <f t="shared" ref="C56:H56" si="13">IFERROR(AVERAGE(C3:C16),"")</f>
        <v>44.642857142857146</v>
      </c>
      <c r="D56" s="39">
        <f t="shared" si="13"/>
        <v>61.428571428571431</v>
      </c>
      <c r="E56" s="39">
        <f t="shared" si="13"/>
        <v>57.785714285714285</v>
      </c>
      <c r="F56" s="39">
        <f t="shared" si="13"/>
        <v>35.571428571428569</v>
      </c>
      <c r="G56" s="39">
        <f t="shared" si="13"/>
        <v>35.571428571428569</v>
      </c>
      <c r="H56" s="39">
        <f t="shared" si="13"/>
        <v>235</v>
      </c>
      <c r="J56" s="37" t="s">
        <v>738</v>
      </c>
      <c r="K56" s="38"/>
      <c r="L56" s="39">
        <f t="shared" ref="L56:Q56" si="14">IFERROR(AVERAGE(L3:L54),"")</f>
        <v>45.519230769230766</v>
      </c>
      <c r="M56" s="39">
        <f t="shared" si="14"/>
        <v>45.53846153846154</v>
      </c>
      <c r="N56" s="39">
        <f t="shared" si="14"/>
        <v>40.692307692307693</v>
      </c>
      <c r="O56" s="39">
        <f t="shared" si="14"/>
        <v>43.28846153846154</v>
      </c>
      <c r="P56" s="39">
        <f t="shared" si="14"/>
        <v>39.403846153846153</v>
      </c>
      <c r="Q56" s="39">
        <f t="shared" si="14"/>
        <v>214.44230769230768</v>
      </c>
      <c r="S56" s="37" t="s">
        <v>738</v>
      </c>
      <c r="T56" s="38"/>
      <c r="U56" s="39">
        <f t="shared" ref="U56:Z56" si="15">IFERROR(AVERAGE(U3:U54),"")</f>
        <v>50.307692307692307</v>
      </c>
      <c r="V56" s="39">
        <f t="shared" si="15"/>
        <v>51.57692307692308</v>
      </c>
      <c r="W56" s="39">
        <f t="shared" si="15"/>
        <v>46.769230769230766</v>
      </c>
      <c r="X56" s="39">
        <f t="shared" si="15"/>
        <v>46.634615384615387</v>
      </c>
      <c r="Y56" s="39">
        <f t="shared" si="15"/>
        <v>49.653846153846153</v>
      </c>
      <c r="Z56" s="39">
        <f t="shared" si="15"/>
        <v>244.94230769230768</v>
      </c>
      <c r="AB56" s="37" t="s">
        <v>738</v>
      </c>
      <c r="AC56" s="38"/>
      <c r="AD56" s="39">
        <f t="shared" ref="AD56:AI56" si="16">IFERROR(AVERAGE(AD3:AD54),"")</f>
        <v>41.884615384615387</v>
      </c>
      <c r="AE56" s="39">
        <f t="shared" si="16"/>
        <v>43.67307692307692</v>
      </c>
      <c r="AF56" s="39">
        <f t="shared" si="16"/>
        <v>41.980769230769234</v>
      </c>
      <c r="AG56" s="39">
        <f t="shared" si="16"/>
        <v>47.653846153846153</v>
      </c>
      <c r="AH56" s="39">
        <f t="shared" si="16"/>
        <v>43.980769230769234</v>
      </c>
      <c r="AI56" s="39">
        <f t="shared" si="16"/>
        <v>219.17307692307693</v>
      </c>
      <c r="AK56" s="37" t="s">
        <v>738</v>
      </c>
      <c r="AL56" s="38"/>
      <c r="AM56" s="39">
        <f t="shared" ref="AM56:AR56" si="17">IFERROR(AVERAGE(AM3:AM55),"")</f>
        <v>48.660377358490564</v>
      </c>
      <c r="AN56" s="39">
        <f t="shared" si="17"/>
        <v>48</v>
      </c>
      <c r="AO56" s="39">
        <f t="shared" si="17"/>
        <v>51.301886792452834</v>
      </c>
      <c r="AP56" s="39">
        <f t="shared" si="17"/>
        <v>50.226415094339622</v>
      </c>
      <c r="AQ56" s="39">
        <f t="shared" si="17"/>
        <v>47.20754716981132</v>
      </c>
      <c r="AR56" s="39">
        <f t="shared" si="17"/>
        <v>245.39622641509433</v>
      </c>
      <c r="AT56" s="37" t="s">
        <v>738</v>
      </c>
      <c r="AU56" s="38"/>
      <c r="AV56" s="39">
        <f t="shared" ref="AV56:BA56" si="18">IFERROR(AVERAGE(AV3:AV54),"")</f>
        <v>49.634615384615387</v>
      </c>
      <c r="AW56" s="39">
        <f t="shared" si="18"/>
        <v>44.78846153846154</v>
      </c>
      <c r="AX56" s="39">
        <f t="shared" si="18"/>
        <v>41.25</v>
      </c>
      <c r="AY56" s="39">
        <f t="shared" si="18"/>
        <v>46.692307692307693</v>
      </c>
      <c r="AZ56" s="39">
        <f t="shared" si="18"/>
        <v>43.884615384615387</v>
      </c>
      <c r="BA56" s="39">
        <f t="shared" si="18"/>
        <v>226.25</v>
      </c>
      <c r="BC56" s="37" t="s">
        <v>738</v>
      </c>
      <c r="BD56" s="38"/>
      <c r="BE56" s="39">
        <f t="shared" ref="BE56:BJ56" si="19">IFERROR(AVERAGE(BE3:BE54),"")</f>
        <v>47.846153846153847</v>
      </c>
      <c r="BF56" s="39">
        <f t="shared" si="19"/>
        <v>50.403846153846153</v>
      </c>
      <c r="BG56" s="39">
        <f t="shared" si="19"/>
        <v>48.78846153846154</v>
      </c>
      <c r="BH56" s="39">
        <f t="shared" si="19"/>
        <v>48.884615384615387</v>
      </c>
      <c r="BI56" s="39">
        <f t="shared" si="19"/>
        <v>45.17307692307692</v>
      </c>
      <c r="BJ56" s="39">
        <f t="shared" si="19"/>
        <v>241.09615384615384</v>
      </c>
      <c r="BL56" s="37" t="s">
        <v>738</v>
      </c>
      <c r="BM56" s="38"/>
      <c r="BN56" s="39">
        <f t="shared" ref="BN56:BS56" si="20">IFERROR(AVERAGE(BN3:BN54),"")</f>
        <v>47.134615384615387</v>
      </c>
      <c r="BO56" s="39">
        <f t="shared" si="20"/>
        <v>54.75</v>
      </c>
      <c r="BP56" s="39">
        <f t="shared" si="20"/>
        <v>47.57692307692308</v>
      </c>
      <c r="BQ56" s="39">
        <f t="shared" si="20"/>
        <v>43.75</v>
      </c>
      <c r="BR56" s="39">
        <f t="shared" si="20"/>
        <v>47.096153846153847</v>
      </c>
      <c r="BS56" s="39">
        <f t="shared" si="20"/>
        <v>240.30769230769232</v>
      </c>
      <c r="BU56" s="37" t="s">
        <v>738</v>
      </c>
      <c r="BV56" s="38"/>
      <c r="BW56" s="39">
        <f t="shared" ref="BW56:CB56" si="21">IFERROR(AVERAGE(BW3:BW54),"")</f>
        <v>49.846153846153847</v>
      </c>
      <c r="BX56" s="39">
        <f t="shared" si="21"/>
        <v>47.019230769230766</v>
      </c>
      <c r="BY56" s="39">
        <f t="shared" si="21"/>
        <v>48.903846153846153</v>
      </c>
      <c r="BZ56" s="39">
        <f t="shared" si="21"/>
        <v>45.42307692307692</v>
      </c>
      <c r="CA56" s="39">
        <f t="shared" si="21"/>
        <v>47.25</v>
      </c>
      <c r="CB56" s="39">
        <f t="shared" si="21"/>
        <v>238.44230769230768</v>
      </c>
      <c r="CD56" s="37" t="s">
        <v>738</v>
      </c>
      <c r="CE56" s="38"/>
      <c r="CF56" s="39">
        <f t="shared" ref="CF56:CK56" si="22">IFERROR(AVERAGE(CF3:CF54),"")</f>
        <v>41.28846153846154</v>
      </c>
      <c r="CG56" s="39">
        <f t="shared" si="22"/>
        <v>40.596153846153847</v>
      </c>
      <c r="CH56" s="39">
        <f t="shared" si="22"/>
        <v>43.980769230769234</v>
      </c>
      <c r="CI56" s="39">
        <f t="shared" si="22"/>
        <v>42.03846153846154</v>
      </c>
      <c r="CJ56" s="39">
        <f t="shared" si="22"/>
        <v>37.096153846153847</v>
      </c>
      <c r="CK56" s="39">
        <f t="shared" si="22"/>
        <v>205</v>
      </c>
      <c r="CM56" s="37" t="s">
        <v>738</v>
      </c>
      <c r="CN56" s="38"/>
      <c r="CO56" s="39">
        <f t="shared" ref="CO56:CT56" si="23">IFERROR(AVERAGE(CO3:CO55),"")</f>
        <v>45.679245283018865</v>
      </c>
      <c r="CP56" s="39">
        <f t="shared" si="23"/>
        <v>47.018867924528301</v>
      </c>
      <c r="CQ56" s="39">
        <f t="shared" si="23"/>
        <v>40.924528301886795</v>
      </c>
      <c r="CR56" s="39">
        <f t="shared" si="23"/>
        <v>44.905660377358494</v>
      </c>
      <c r="CS56" s="39">
        <f t="shared" si="23"/>
        <v>44.283018867924525</v>
      </c>
      <c r="CT56" s="39">
        <f t="shared" si="23"/>
        <v>222.81132075471697</v>
      </c>
      <c r="CV56" s="37" t="s">
        <v>738</v>
      </c>
      <c r="CW56" s="38"/>
      <c r="CX56" s="39">
        <f t="shared" ref="CX56:DC56" si="24">IFERROR(AVERAGE(CX3:CX54),"")</f>
        <v>39.442307692307693</v>
      </c>
      <c r="CY56" s="39">
        <f t="shared" si="24"/>
        <v>45.980769230769234</v>
      </c>
      <c r="CZ56" s="39">
        <f t="shared" si="24"/>
        <v>44.365384615384613</v>
      </c>
      <c r="DA56" s="39">
        <f t="shared" si="24"/>
        <v>51.07692307692308</v>
      </c>
      <c r="DB56" s="39">
        <f t="shared" si="24"/>
        <v>50.269230769230766</v>
      </c>
      <c r="DC56" s="39">
        <f t="shared" si="24"/>
        <v>231.13461538461539</v>
      </c>
      <c r="DE56" s="37" t="s">
        <v>738</v>
      </c>
      <c r="DF56" s="38"/>
      <c r="DG56" s="39">
        <f t="shared" ref="DG56:DL56" si="25">IFERROR(AVERAGE(DG3:DG38),"")</f>
        <v>48.222222222222221</v>
      </c>
      <c r="DH56" s="39">
        <f t="shared" si="25"/>
        <v>45.027777777777779</v>
      </c>
      <c r="DI56" s="39">
        <f t="shared" si="25"/>
        <v>45.861111111111114</v>
      </c>
      <c r="DJ56" s="39">
        <f t="shared" si="25"/>
        <v>35</v>
      </c>
      <c r="DK56" s="39">
        <f t="shared" si="25"/>
        <v>42.444444444444443</v>
      </c>
      <c r="DL56" s="39">
        <f t="shared" si="25"/>
        <v>216.55555555555554</v>
      </c>
    </row>
  </sheetData>
  <mergeCells count="13">
    <mergeCell ref="DE1:DL1"/>
    <mergeCell ref="BC1:BJ1"/>
    <mergeCell ref="BL1:BS1"/>
    <mergeCell ref="BU1:CB1"/>
    <mergeCell ref="CD1:CK1"/>
    <mergeCell ref="CM1:CT1"/>
    <mergeCell ref="CV1:DC1"/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F519-7B56-3A4F-B1BD-F272223F3AC9}">
  <dimension ref="A1:CB56"/>
  <sheetViews>
    <sheetView tabSelected="1" workbookViewId="0">
      <selection activeCell="A28" sqref="A28"/>
    </sheetView>
  </sheetViews>
  <sheetFormatPr baseColWidth="10" defaultColWidth="8.83203125" defaultRowHeight="15" x14ac:dyDescent="0.2"/>
  <cols>
    <col min="1" max="1" width="9" customWidth="1"/>
    <col min="2" max="2" width="8" customWidth="1"/>
    <col min="3" max="7" width="6" customWidth="1"/>
    <col min="8" max="8" width="8" customWidth="1"/>
    <col min="9" max="9" width="3" customWidth="1"/>
    <col min="10" max="10" width="9" customWidth="1"/>
    <col min="11" max="11" width="8" customWidth="1"/>
    <col min="12" max="16" width="6" customWidth="1"/>
    <col min="17" max="17" width="8" customWidth="1"/>
    <col min="18" max="18" width="3" customWidth="1"/>
    <col min="19" max="19" width="9" customWidth="1"/>
    <col min="20" max="20" width="8" customWidth="1"/>
    <col min="21" max="25" width="6" customWidth="1"/>
    <col min="26" max="26" width="8" customWidth="1"/>
    <col min="27" max="27" width="3" customWidth="1"/>
    <col min="28" max="28" width="9" customWidth="1"/>
    <col min="29" max="29" width="8" customWidth="1"/>
    <col min="30" max="34" width="6" customWidth="1"/>
    <col min="35" max="35" width="8" customWidth="1"/>
    <col min="36" max="36" width="3" customWidth="1"/>
    <col min="37" max="37" width="9" customWidth="1"/>
    <col min="38" max="38" width="8" customWidth="1"/>
    <col min="39" max="43" width="6" customWidth="1"/>
    <col min="44" max="44" width="8" customWidth="1"/>
    <col min="45" max="45" width="3" customWidth="1"/>
    <col min="46" max="46" width="9" customWidth="1"/>
    <col min="47" max="47" width="8" customWidth="1"/>
    <col min="48" max="52" width="6" customWidth="1"/>
    <col min="53" max="53" width="8" customWidth="1"/>
    <col min="54" max="54" width="3" customWidth="1"/>
    <col min="55" max="55" width="9" customWidth="1"/>
    <col min="56" max="56" width="8" customWidth="1"/>
    <col min="57" max="61" width="6" customWidth="1"/>
    <col min="62" max="62" width="8" customWidth="1"/>
    <col min="63" max="63" width="3" customWidth="1"/>
    <col min="64" max="64" width="9" customWidth="1"/>
    <col min="65" max="65" width="8" customWidth="1"/>
    <col min="66" max="70" width="6" customWidth="1"/>
    <col min="71" max="71" width="8" customWidth="1"/>
    <col min="72" max="72" width="3" customWidth="1"/>
    <col min="73" max="73" width="9" customWidth="1"/>
    <col min="74" max="74" width="8" customWidth="1"/>
    <col min="75" max="79" width="6" customWidth="1"/>
    <col min="80" max="80" width="8" customWidth="1"/>
    <col min="81" max="81" width="3" customWidth="1"/>
    <col min="82" max="82" width="9" customWidth="1"/>
    <col min="83" max="83" width="8" customWidth="1"/>
    <col min="84" max="88" width="6" customWidth="1"/>
    <col min="89" max="89" width="8" customWidth="1"/>
    <col min="90" max="90" width="3" customWidth="1"/>
    <col min="91" max="91" width="9" customWidth="1"/>
    <col min="92" max="92" width="8" customWidth="1"/>
    <col min="93" max="97" width="6" customWidth="1"/>
    <col min="98" max="98" width="8" customWidth="1"/>
    <col min="99" max="99" width="3" customWidth="1"/>
    <col min="100" max="100" width="9" customWidth="1"/>
    <col min="101" max="101" width="8" customWidth="1"/>
    <col min="102" max="106" width="6" customWidth="1"/>
    <col min="107" max="107" width="8" customWidth="1"/>
    <col min="108" max="108" width="3" customWidth="1"/>
    <col min="109" max="109" width="9" customWidth="1"/>
    <col min="110" max="110" width="8" customWidth="1"/>
    <col min="111" max="115" width="6" customWidth="1"/>
    <col min="116" max="116" width="8" customWidth="1"/>
    <col min="117" max="117" width="3" customWidth="1"/>
  </cols>
  <sheetData>
    <row r="1" spans="1:80" ht="18" x14ac:dyDescent="0.2">
      <c r="A1" s="31" t="s">
        <v>354</v>
      </c>
      <c r="B1" s="32"/>
      <c r="C1" s="32"/>
      <c r="D1" s="32"/>
      <c r="E1" s="32"/>
      <c r="F1" s="32"/>
      <c r="G1" s="32"/>
      <c r="H1" s="32"/>
      <c r="J1" s="31" t="s">
        <v>355</v>
      </c>
      <c r="K1" s="32"/>
      <c r="L1" s="32"/>
      <c r="M1" s="32"/>
      <c r="N1" s="32"/>
      <c r="O1" s="32"/>
      <c r="P1" s="32"/>
      <c r="Q1" s="32"/>
      <c r="S1" s="31" t="s">
        <v>356</v>
      </c>
      <c r="T1" s="32"/>
      <c r="U1" s="32"/>
      <c r="V1" s="32"/>
      <c r="W1" s="32"/>
      <c r="X1" s="32"/>
      <c r="Y1" s="32"/>
      <c r="Z1" s="32"/>
      <c r="AB1" s="31" t="s">
        <v>357</v>
      </c>
      <c r="AC1" s="32"/>
      <c r="AD1" s="32"/>
      <c r="AE1" s="32"/>
      <c r="AF1" s="32"/>
      <c r="AG1" s="32"/>
      <c r="AH1" s="32"/>
      <c r="AI1" s="32"/>
      <c r="AK1" s="31" t="s">
        <v>358</v>
      </c>
      <c r="AL1" s="32"/>
      <c r="AM1" s="32"/>
      <c r="AN1" s="32"/>
      <c r="AO1" s="32"/>
      <c r="AP1" s="32"/>
      <c r="AQ1" s="32"/>
      <c r="AR1" s="32"/>
      <c r="AT1" s="31" t="s">
        <v>359</v>
      </c>
      <c r="AU1" s="32"/>
      <c r="AV1" s="32"/>
      <c r="AW1" s="32"/>
      <c r="AX1" s="32"/>
      <c r="AY1" s="32"/>
      <c r="AZ1" s="32"/>
      <c r="BA1" s="32"/>
      <c r="BC1" s="31" t="s">
        <v>360</v>
      </c>
      <c r="BD1" s="32"/>
      <c r="BE1" s="32"/>
      <c r="BF1" s="32"/>
      <c r="BG1" s="32"/>
      <c r="BH1" s="32"/>
      <c r="BI1" s="32"/>
      <c r="BJ1" s="32"/>
      <c r="BL1" s="31" t="s">
        <v>361</v>
      </c>
      <c r="BM1" s="32"/>
      <c r="BN1" s="32"/>
      <c r="BO1" s="32"/>
      <c r="BP1" s="32"/>
      <c r="BQ1" s="32"/>
      <c r="BR1" s="32"/>
      <c r="BS1" s="32"/>
      <c r="BU1" s="31" t="s">
        <v>362</v>
      </c>
      <c r="BV1" s="32"/>
      <c r="BW1" s="32"/>
      <c r="BX1" s="32"/>
      <c r="BY1" s="32"/>
      <c r="BZ1" s="32"/>
      <c r="CA1" s="32"/>
      <c r="CB1" s="32"/>
    </row>
    <row r="2" spans="1:80" ht="18" x14ac:dyDescent="0.2">
      <c r="A2" s="33" t="s">
        <v>367</v>
      </c>
      <c r="B2" s="33" t="s">
        <v>368</v>
      </c>
      <c r="C2" s="33" t="s">
        <v>369</v>
      </c>
      <c r="D2" s="33" t="s">
        <v>370</v>
      </c>
      <c r="E2" s="33" t="s">
        <v>371</v>
      </c>
      <c r="F2" s="33" t="s">
        <v>372</v>
      </c>
      <c r="G2" s="33" t="s">
        <v>373</v>
      </c>
      <c r="H2" s="33" t="s">
        <v>11</v>
      </c>
      <c r="J2" s="33" t="s">
        <v>367</v>
      </c>
      <c r="K2" s="33" t="s">
        <v>368</v>
      </c>
      <c r="L2" s="33" t="s">
        <v>369</v>
      </c>
      <c r="M2" s="33" t="s">
        <v>370</v>
      </c>
      <c r="N2" s="33" t="s">
        <v>371</v>
      </c>
      <c r="O2" s="33" t="s">
        <v>372</v>
      </c>
      <c r="P2" s="33" t="s">
        <v>373</v>
      </c>
      <c r="Q2" s="33" t="s">
        <v>11</v>
      </c>
      <c r="S2" s="33" t="s">
        <v>367</v>
      </c>
      <c r="T2" s="33" t="s">
        <v>368</v>
      </c>
      <c r="U2" s="33" t="s">
        <v>369</v>
      </c>
      <c r="V2" s="33" t="s">
        <v>370</v>
      </c>
      <c r="W2" s="33" t="s">
        <v>371</v>
      </c>
      <c r="X2" s="33" t="s">
        <v>372</v>
      </c>
      <c r="Y2" s="33" t="s">
        <v>373</v>
      </c>
      <c r="Z2" s="33" t="s">
        <v>11</v>
      </c>
      <c r="AB2" s="33" t="s">
        <v>367</v>
      </c>
      <c r="AC2" s="33" t="s">
        <v>368</v>
      </c>
      <c r="AD2" s="33" t="s">
        <v>369</v>
      </c>
      <c r="AE2" s="33" t="s">
        <v>370</v>
      </c>
      <c r="AF2" s="33" t="s">
        <v>371</v>
      </c>
      <c r="AG2" s="33" t="s">
        <v>372</v>
      </c>
      <c r="AH2" s="33" t="s">
        <v>373</v>
      </c>
      <c r="AI2" s="33" t="s">
        <v>11</v>
      </c>
      <c r="AK2" s="33" t="s">
        <v>367</v>
      </c>
      <c r="AL2" s="33" t="s">
        <v>368</v>
      </c>
      <c r="AM2" s="33" t="s">
        <v>369</v>
      </c>
      <c r="AN2" s="33" t="s">
        <v>370</v>
      </c>
      <c r="AO2" s="33" t="s">
        <v>371</v>
      </c>
      <c r="AP2" s="33" t="s">
        <v>372</v>
      </c>
      <c r="AQ2" s="33" t="s">
        <v>373</v>
      </c>
      <c r="AR2" s="33" t="s">
        <v>11</v>
      </c>
      <c r="AT2" s="33" t="s">
        <v>367</v>
      </c>
      <c r="AU2" s="33" t="s">
        <v>368</v>
      </c>
      <c r="AV2" s="33" t="s">
        <v>369</v>
      </c>
      <c r="AW2" s="33" t="s">
        <v>370</v>
      </c>
      <c r="AX2" s="33" t="s">
        <v>371</v>
      </c>
      <c r="AY2" s="33" t="s">
        <v>372</v>
      </c>
      <c r="AZ2" s="33" t="s">
        <v>373</v>
      </c>
      <c r="BA2" s="33" t="s">
        <v>11</v>
      </c>
      <c r="BC2" s="33" t="s">
        <v>367</v>
      </c>
      <c r="BD2" s="33" t="s">
        <v>368</v>
      </c>
      <c r="BE2" s="33" t="s">
        <v>369</v>
      </c>
      <c r="BF2" s="33" t="s">
        <v>370</v>
      </c>
      <c r="BG2" s="33" t="s">
        <v>371</v>
      </c>
      <c r="BH2" s="33" t="s">
        <v>372</v>
      </c>
      <c r="BI2" s="33" t="s">
        <v>373</v>
      </c>
      <c r="BJ2" s="33" t="s">
        <v>11</v>
      </c>
      <c r="BL2" s="33" t="s">
        <v>367</v>
      </c>
      <c r="BM2" s="33" t="s">
        <v>368</v>
      </c>
      <c r="BN2" s="33" t="s">
        <v>369</v>
      </c>
      <c r="BO2" s="33" t="s">
        <v>370</v>
      </c>
      <c r="BP2" s="33" t="s">
        <v>371</v>
      </c>
      <c r="BQ2" s="33" t="s">
        <v>372</v>
      </c>
      <c r="BR2" s="33" t="s">
        <v>373</v>
      </c>
      <c r="BS2" s="33" t="s">
        <v>11</v>
      </c>
      <c r="BU2" s="33" t="s">
        <v>367</v>
      </c>
      <c r="BV2" s="33" t="s">
        <v>368</v>
      </c>
      <c r="BW2" s="33" t="s">
        <v>369</v>
      </c>
      <c r="BX2" s="33" t="s">
        <v>370</v>
      </c>
      <c r="BY2" s="33" t="s">
        <v>371</v>
      </c>
      <c r="BZ2" s="33" t="s">
        <v>372</v>
      </c>
      <c r="CA2" s="33" t="s">
        <v>373</v>
      </c>
      <c r="CB2" s="33" t="s">
        <v>11</v>
      </c>
    </row>
    <row r="3" spans="1:80" ht="18" customHeight="1" x14ac:dyDescent="0.2">
      <c r="A3" s="34">
        <v>1</v>
      </c>
      <c r="B3" s="34" t="s">
        <v>374</v>
      </c>
      <c r="C3" s="34">
        <v>41</v>
      </c>
      <c r="D3" s="34">
        <v>89</v>
      </c>
      <c r="E3" s="34">
        <v>80</v>
      </c>
      <c r="F3" s="34">
        <v>62</v>
      </c>
      <c r="G3" s="34">
        <v>45</v>
      </c>
      <c r="H3" s="35">
        <f>C3+D3+E3+F3+G3</f>
        <v>317</v>
      </c>
      <c r="J3" s="34">
        <v>15</v>
      </c>
      <c r="K3" s="34" t="s">
        <v>375</v>
      </c>
      <c r="L3" s="34">
        <v>41</v>
      </c>
      <c r="M3" s="34">
        <v>48</v>
      </c>
      <c r="N3" s="34">
        <v>45</v>
      </c>
      <c r="O3" s="34">
        <v>70</v>
      </c>
      <c r="P3" s="34">
        <v>31</v>
      </c>
      <c r="Q3" s="35">
        <f>L3+M3+N3+O3+P3</f>
        <v>235</v>
      </c>
      <c r="S3" s="34">
        <v>67</v>
      </c>
      <c r="T3" s="34" t="s">
        <v>376</v>
      </c>
      <c r="U3" s="34">
        <v>65</v>
      </c>
      <c r="V3" s="34">
        <v>8</v>
      </c>
      <c r="W3" s="34">
        <v>56</v>
      </c>
      <c r="X3" s="34">
        <v>39</v>
      </c>
      <c r="Y3" s="34">
        <v>90</v>
      </c>
      <c r="Z3" s="35">
        <f>U3+V3+W3+X3+Y3</f>
        <v>258</v>
      </c>
      <c r="AB3" s="34">
        <v>119</v>
      </c>
      <c r="AC3" s="34" t="s">
        <v>377</v>
      </c>
      <c r="AD3" s="34">
        <v>80</v>
      </c>
      <c r="AE3" s="34">
        <v>47</v>
      </c>
      <c r="AF3" s="34">
        <v>22</v>
      </c>
      <c r="AG3" s="34">
        <v>69</v>
      </c>
      <c r="AH3" s="34">
        <v>82</v>
      </c>
      <c r="AI3" s="35">
        <f>AD3+AE3+AF3+AG3+AH3</f>
        <v>300</v>
      </c>
      <c r="AK3" s="34">
        <v>171</v>
      </c>
      <c r="AL3" s="34" t="s">
        <v>378</v>
      </c>
      <c r="AM3" s="34">
        <v>21</v>
      </c>
      <c r="AN3" s="34">
        <v>84</v>
      </c>
      <c r="AO3" s="34">
        <v>85</v>
      </c>
      <c r="AP3" s="34">
        <v>20</v>
      </c>
      <c r="AQ3" s="34">
        <v>24</v>
      </c>
      <c r="AR3" s="35">
        <f>AM3+AN3+AO3+AP3+AQ3</f>
        <v>234</v>
      </c>
      <c r="AT3" s="34">
        <v>224</v>
      </c>
      <c r="AU3" s="34" t="s">
        <v>379</v>
      </c>
      <c r="AV3" s="34">
        <v>64</v>
      </c>
      <c r="AW3" s="34">
        <v>28</v>
      </c>
      <c r="AX3" s="34">
        <v>30</v>
      </c>
      <c r="AY3" s="34">
        <v>71</v>
      </c>
      <c r="AZ3" s="34">
        <v>4</v>
      </c>
      <c r="BA3" s="35">
        <f>AV3+AW3+AX3+AY3+AZ3</f>
        <v>197</v>
      </c>
      <c r="BC3" s="34">
        <v>276</v>
      </c>
      <c r="BD3" s="34" t="s">
        <v>380</v>
      </c>
      <c r="BE3" s="34">
        <v>72</v>
      </c>
      <c r="BF3" s="34">
        <v>75</v>
      </c>
      <c r="BG3" s="34">
        <v>70</v>
      </c>
      <c r="BH3" s="34">
        <v>10</v>
      </c>
      <c r="BI3" s="34">
        <v>53</v>
      </c>
      <c r="BJ3" s="35">
        <f>BE3+BF3+BG3+BH3+BI3</f>
        <v>280</v>
      </c>
      <c r="BL3" s="34">
        <v>328</v>
      </c>
      <c r="BM3" s="34" t="s">
        <v>376</v>
      </c>
      <c r="BN3" s="34">
        <v>25</v>
      </c>
      <c r="BO3" s="34">
        <v>8</v>
      </c>
      <c r="BP3" s="34">
        <v>19</v>
      </c>
      <c r="BQ3" s="34">
        <v>53</v>
      </c>
      <c r="BR3" s="34">
        <v>73</v>
      </c>
      <c r="BS3" s="35">
        <f>BN3+BO3+BP3+BQ3+BR3</f>
        <v>178</v>
      </c>
      <c r="BU3" s="34">
        <v>380</v>
      </c>
      <c r="BV3" s="34" t="s">
        <v>381</v>
      </c>
      <c r="BW3" s="34">
        <v>85</v>
      </c>
      <c r="BX3" s="34">
        <v>59</v>
      </c>
      <c r="BY3" s="34">
        <v>37</v>
      </c>
      <c r="BZ3" s="34">
        <v>65</v>
      </c>
      <c r="CA3" s="34">
        <v>89</v>
      </c>
      <c r="CB3" s="35">
        <f>BW3+BX3+BY3+BZ3+CA3</f>
        <v>335</v>
      </c>
    </row>
    <row r="4" spans="1:80" ht="18" customHeight="1" x14ac:dyDescent="0.2">
      <c r="A4" s="36">
        <v>2</v>
      </c>
      <c r="B4" s="36" t="s">
        <v>382</v>
      </c>
      <c r="C4" s="36">
        <v>79</v>
      </c>
      <c r="D4" s="36">
        <v>88</v>
      </c>
      <c r="E4" s="36">
        <v>25</v>
      </c>
      <c r="F4" s="36">
        <v>26</v>
      </c>
      <c r="G4" s="36">
        <v>47</v>
      </c>
      <c r="H4" s="35">
        <f>C4+D4+E4+F4+G4</f>
        <v>265</v>
      </c>
      <c r="J4" s="36">
        <v>16</v>
      </c>
      <c r="K4" s="36" t="s">
        <v>383</v>
      </c>
      <c r="L4" s="36">
        <v>9</v>
      </c>
      <c r="M4" s="36">
        <v>55</v>
      </c>
      <c r="N4" s="36">
        <v>43</v>
      </c>
      <c r="O4" s="36">
        <v>80</v>
      </c>
      <c r="P4" s="36">
        <v>33</v>
      </c>
      <c r="Q4" s="35">
        <f>L4+M4+N4+O4+P4</f>
        <v>220</v>
      </c>
      <c r="S4" s="36">
        <v>68</v>
      </c>
      <c r="T4" s="36" t="s">
        <v>384</v>
      </c>
      <c r="U4" s="36">
        <v>78</v>
      </c>
      <c r="V4" s="36">
        <v>80</v>
      </c>
      <c r="W4" s="36">
        <v>46</v>
      </c>
      <c r="X4" s="36">
        <v>9</v>
      </c>
      <c r="Y4" s="36">
        <v>41</v>
      </c>
      <c r="Z4" s="35">
        <f>U4+V4+W4+X4+Y4</f>
        <v>254</v>
      </c>
      <c r="AB4" s="36">
        <v>120</v>
      </c>
      <c r="AC4" s="36" t="s">
        <v>385</v>
      </c>
      <c r="AD4" s="36">
        <v>41</v>
      </c>
      <c r="AE4" s="36">
        <v>16</v>
      </c>
      <c r="AF4" s="36">
        <v>86</v>
      </c>
      <c r="AG4" s="36">
        <v>21</v>
      </c>
      <c r="AH4" s="36">
        <v>82</v>
      </c>
      <c r="AI4" s="35">
        <f>AD4+AE4+AF4+AG4+AH4</f>
        <v>246</v>
      </c>
      <c r="AK4" s="36">
        <v>172</v>
      </c>
      <c r="AL4" s="36" t="s">
        <v>386</v>
      </c>
      <c r="AM4" s="36">
        <v>73</v>
      </c>
      <c r="AN4" s="36">
        <v>52</v>
      </c>
      <c r="AO4" s="36">
        <v>54</v>
      </c>
      <c r="AP4" s="36">
        <v>30</v>
      </c>
      <c r="AQ4" s="36">
        <v>70</v>
      </c>
      <c r="AR4" s="35">
        <f>AM4+AN4+AO4+AP4+AQ4</f>
        <v>279</v>
      </c>
      <c r="AT4" s="36">
        <v>225</v>
      </c>
      <c r="AU4" s="36" t="s">
        <v>387</v>
      </c>
      <c r="AV4" s="36">
        <v>50</v>
      </c>
      <c r="AW4" s="36">
        <v>73</v>
      </c>
      <c r="AX4" s="36">
        <v>59</v>
      </c>
      <c r="AY4" s="36">
        <v>76</v>
      </c>
      <c r="AZ4" s="36">
        <v>13</v>
      </c>
      <c r="BA4" s="35">
        <f>AV4+AW4+AX4+AY4+AZ4</f>
        <v>271</v>
      </c>
      <c r="BC4" s="36">
        <v>277</v>
      </c>
      <c r="BD4" s="36" t="s">
        <v>388</v>
      </c>
      <c r="BE4" s="36">
        <v>86</v>
      </c>
      <c r="BF4" s="36">
        <v>23</v>
      </c>
      <c r="BG4" s="36">
        <v>28</v>
      </c>
      <c r="BH4" s="36">
        <v>6</v>
      </c>
      <c r="BI4" s="36">
        <v>14</v>
      </c>
      <c r="BJ4" s="35">
        <f>BE4+BF4+BG4+BH4+BI4</f>
        <v>157</v>
      </c>
      <c r="BL4" s="36">
        <v>329</v>
      </c>
      <c r="BM4" s="36" t="s">
        <v>384</v>
      </c>
      <c r="BN4" s="36">
        <v>35</v>
      </c>
      <c r="BO4" s="36">
        <v>2</v>
      </c>
      <c r="BP4" s="36">
        <v>27</v>
      </c>
      <c r="BQ4" s="36">
        <v>51</v>
      </c>
      <c r="BR4" s="36">
        <v>82</v>
      </c>
      <c r="BS4" s="35">
        <f>BN4+BO4+BP4+BQ4+BR4</f>
        <v>197</v>
      </c>
      <c r="BU4" s="36">
        <v>381</v>
      </c>
      <c r="BV4" s="36" t="s">
        <v>389</v>
      </c>
      <c r="BW4" s="36">
        <v>46</v>
      </c>
      <c r="BX4" s="36">
        <v>1</v>
      </c>
      <c r="BY4" s="36">
        <v>7</v>
      </c>
      <c r="BZ4" s="36">
        <v>79</v>
      </c>
      <c r="CA4" s="36">
        <v>24</v>
      </c>
      <c r="CB4" s="35">
        <f>BW4+BX4+BY4+BZ4+CA4</f>
        <v>157</v>
      </c>
    </row>
    <row r="5" spans="1:80" ht="18" customHeight="1" x14ac:dyDescent="0.2">
      <c r="A5" s="34">
        <v>3</v>
      </c>
      <c r="B5" s="34" t="s">
        <v>390</v>
      </c>
      <c r="C5" s="34">
        <v>19</v>
      </c>
      <c r="D5" s="34">
        <v>86</v>
      </c>
      <c r="E5" s="34">
        <v>62</v>
      </c>
      <c r="F5" s="34">
        <v>46</v>
      </c>
      <c r="G5" s="34">
        <v>48</v>
      </c>
      <c r="H5" s="35">
        <f>C5+D5+E5+F5+G5</f>
        <v>261</v>
      </c>
      <c r="J5" s="34">
        <v>17</v>
      </c>
      <c r="K5" s="34" t="s">
        <v>391</v>
      </c>
      <c r="L5" s="34">
        <v>62</v>
      </c>
      <c r="M5" s="34">
        <v>28</v>
      </c>
      <c r="N5" s="34">
        <v>10</v>
      </c>
      <c r="O5" s="34">
        <v>52</v>
      </c>
      <c r="P5" s="34">
        <v>85</v>
      </c>
      <c r="Q5" s="35">
        <f>L5+M5+N5+O5+P5</f>
        <v>237</v>
      </c>
      <c r="S5" s="34">
        <v>69</v>
      </c>
      <c r="T5" s="34" t="s">
        <v>392</v>
      </c>
      <c r="U5" s="34">
        <v>48</v>
      </c>
      <c r="V5" s="34">
        <v>15</v>
      </c>
      <c r="W5" s="34">
        <v>1</v>
      </c>
      <c r="X5" s="34">
        <v>16</v>
      </c>
      <c r="Y5" s="34">
        <v>44</v>
      </c>
      <c r="Z5" s="35">
        <f>U5+V5+W5+X5+Y5</f>
        <v>124</v>
      </c>
      <c r="AB5" s="34">
        <v>121</v>
      </c>
      <c r="AC5" s="34" t="s">
        <v>393</v>
      </c>
      <c r="AD5" s="34">
        <v>58</v>
      </c>
      <c r="AE5" s="34">
        <v>54</v>
      </c>
      <c r="AF5" s="34">
        <v>25</v>
      </c>
      <c r="AG5" s="34">
        <v>80</v>
      </c>
      <c r="AH5" s="34">
        <v>35</v>
      </c>
      <c r="AI5" s="35">
        <f>AD5+AE5+AF5+AG5+AH5</f>
        <v>252</v>
      </c>
      <c r="AK5" s="34">
        <v>173</v>
      </c>
      <c r="AL5" s="34" t="s">
        <v>394</v>
      </c>
      <c r="AM5" s="34">
        <v>10</v>
      </c>
      <c r="AN5" s="34">
        <v>78</v>
      </c>
      <c r="AO5" s="34">
        <v>81</v>
      </c>
      <c r="AP5" s="34">
        <v>71</v>
      </c>
      <c r="AQ5" s="34">
        <v>14</v>
      </c>
      <c r="AR5" s="35">
        <f>AM5+AN5+AO5+AP5+AQ5</f>
        <v>254</v>
      </c>
      <c r="AT5" s="34">
        <v>226</v>
      </c>
      <c r="AU5" s="34" t="s">
        <v>395</v>
      </c>
      <c r="AV5" s="34">
        <v>15</v>
      </c>
      <c r="AW5" s="34">
        <v>71</v>
      </c>
      <c r="AX5" s="34">
        <v>21</v>
      </c>
      <c r="AY5" s="34">
        <v>80</v>
      </c>
      <c r="AZ5" s="34">
        <v>59</v>
      </c>
      <c r="BA5" s="35">
        <f>AV5+AW5+AX5+AY5+AZ5</f>
        <v>246</v>
      </c>
      <c r="BC5" s="34">
        <v>278</v>
      </c>
      <c r="BD5" s="34" t="s">
        <v>396</v>
      </c>
      <c r="BE5" s="34">
        <v>5</v>
      </c>
      <c r="BF5" s="34">
        <v>26</v>
      </c>
      <c r="BG5" s="34">
        <v>28</v>
      </c>
      <c r="BH5" s="34">
        <v>38</v>
      </c>
      <c r="BI5" s="34">
        <v>20</v>
      </c>
      <c r="BJ5" s="35">
        <f>BE5+BF5+BG5+BH5+BI5</f>
        <v>117</v>
      </c>
      <c r="BL5" s="34">
        <v>330</v>
      </c>
      <c r="BM5" s="34" t="s">
        <v>392</v>
      </c>
      <c r="BN5" s="34">
        <v>70</v>
      </c>
      <c r="BO5" s="34">
        <v>72</v>
      </c>
      <c r="BP5" s="34">
        <v>60</v>
      </c>
      <c r="BQ5" s="34">
        <v>8</v>
      </c>
      <c r="BR5" s="34">
        <v>15</v>
      </c>
      <c r="BS5" s="35">
        <f>BN5+BO5+BP5+BQ5+BR5</f>
        <v>225</v>
      </c>
      <c r="BU5" s="34">
        <v>382</v>
      </c>
      <c r="BV5" s="34" t="s">
        <v>397</v>
      </c>
      <c r="BW5" s="34">
        <v>53</v>
      </c>
      <c r="BX5" s="34">
        <v>77</v>
      </c>
      <c r="BY5" s="34">
        <v>59</v>
      </c>
      <c r="BZ5" s="34">
        <v>20</v>
      </c>
      <c r="CA5" s="34">
        <v>7</v>
      </c>
      <c r="CB5" s="35">
        <f>BW5+BX5+BY5+BZ5+CA5</f>
        <v>216</v>
      </c>
    </row>
    <row r="6" spans="1:80" ht="18" customHeight="1" x14ac:dyDescent="0.2">
      <c r="A6" s="36">
        <v>4</v>
      </c>
      <c r="B6" s="36" t="s">
        <v>398</v>
      </c>
      <c r="C6" s="36">
        <v>23</v>
      </c>
      <c r="D6" s="36">
        <v>20</v>
      </c>
      <c r="E6" s="36">
        <v>90</v>
      </c>
      <c r="F6" s="36">
        <v>4</v>
      </c>
      <c r="G6" s="36">
        <v>63</v>
      </c>
      <c r="H6" s="35">
        <f>C6+D6+E6+F6+G6</f>
        <v>200</v>
      </c>
      <c r="J6" s="36">
        <v>18</v>
      </c>
      <c r="K6" s="36" t="s">
        <v>399</v>
      </c>
      <c r="L6" s="36">
        <v>88</v>
      </c>
      <c r="M6" s="36">
        <v>84</v>
      </c>
      <c r="N6" s="36">
        <v>28</v>
      </c>
      <c r="O6" s="36">
        <v>89</v>
      </c>
      <c r="P6" s="36">
        <v>2</v>
      </c>
      <c r="Q6" s="35">
        <f>L6+M6+N6+O6+P6</f>
        <v>291</v>
      </c>
      <c r="S6" s="36">
        <v>70</v>
      </c>
      <c r="T6" s="36" t="s">
        <v>400</v>
      </c>
      <c r="U6" s="36">
        <v>64</v>
      </c>
      <c r="V6" s="36">
        <v>70</v>
      </c>
      <c r="W6" s="36">
        <v>83</v>
      </c>
      <c r="X6" s="36">
        <v>56</v>
      </c>
      <c r="Y6" s="36">
        <v>75</v>
      </c>
      <c r="Z6" s="35">
        <f>U6+V6+W6+X6+Y6</f>
        <v>348</v>
      </c>
      <c r="AB6" s="36">
        <v>122</v>
      </c>
      <c r="AC6" s="36" t="s">
        <v>401</v>
      </c>
      <c r="AD6" s="36">
        <v>5</v>
      </c>
      <c r="AE6" s="36">
        <v>6</v>
      </c>
      <c r="AF6" s="36">
        <v>11</v>
      </c>
      <c r="AG6" s="36">
        <v>7</v>
      </c>
      <c r="AH6" s="36">
        <v>4</v>
      </c>
      <c r="AI6" s="35">
        <f>AD6+AE6+AF6+AG6+AH6</f>
        <v>33</v>
      </c>
      <c r="AK6" s="36">
        <v>174</v>
      </c>
      <c r="AL6" s="36" t="s">
        <v>402</v>
      </c>
      <c r="AM6" s="36">
        <v>67</v>
      </c>
      <c r="AN6" s="36">
        <v>11</v>
      </c>
      <c r="AO6" s="36">
        <v>90</v>
      </c>
      <c r="AP6" s="36">
        <v>59</v>
      </c>
      <c r="AQ6" s="36">
        <v>51</v>
      </c>
      <c r="AR6" s="35">
        <f>AM6+AN6+AO6+AP6+AQ6</f>
        <v>278</v>
      </c>
      <c r="AT6" s="36">
        <v>227</v>
      </c>
      <c r="AU6" s="36" t="s">
        <v>403</v>
      </c>
      <c r="AV6" s="36">
        <v>30</v>
      </c>
      <c r="AW6" s="36">
        <v>61</v>
      </c>
      <c r="AX6" s="36">
        <v>34</v>
      </c>
      <c r="AY6" s="36">
        <v>19</v>
      </c>
      <c r="AZ6" s="36">
        <v>75</v>
      </c>
      <c r="BA6" s="35">
        <f>AV6+AW6+AX6+AY6+AZ6</f>
        <v>219</v>
      </c>
      <c r="BC6" s="36">
        <v>279</v>
      </c>
      <c r="BD6" s="36" t="s">
        <v>404</v>
      </c>
      <c r="BE6" s="36">
        <v>60</v>
      </c>
      <c r="BF6" s="36">
        <v>61</v>
      </c>
      <c r="BG6" s="36">
        <v>76</v>
      </c>
      <c r="BH6" s="36">
        <v>16</v>
      </c>
      <c r="BI6" s="36">
        <v>6</v>
      </c>
      <c r="BJ6" s="35">
        <f>BE6+BF6+BG6+BH6+BI6</f>
        <v>219</v>
      </c>
      <c r="BL6" s="36">
        <v>331</v>
      </c>
      <c r="BM6" s="36" t="s">
        <v>400</v>
      </c>
      <c r="BN6" s="36">
        <v>61</v>
      </c>
      <c r="BO6" s="36">
        <v>26</v>
      </c>
      <c r="BP6" s="36">
        <v>86</v>
      </c>
      <c r="BQ6" s="36">
        <v>74</v>
      </c>
      <c r="BR6" s="36">
        <v>45</v>
      </c>
      <c r="BS6" s="35">
        <f>BN6+BO6+BP6+BQ6+BR6</f>
        <v>292</v>
      </c>
      <c r="BU6" s="36">
        <v>383</v>
      </c>
      <c r="BV6" s="36" t="s">
        <v>405</v>
      </c>
      <c r="BW6" s="36">
        <v>76</v>
      </c>
      <c r="BX6" s="36">
        <v>42</v>
      </c>
      <c r="BY6" s="36">
        <v>66</v>
      </c>
      <c r="BZ6" s="36">
        <v>48</v>
      </c>
      <c r="CA6" s="36">
        <v>86</v>
      </c>
      <c r="CB6" s="35">
        <f>BW6+BX6+BY6+BZ6+CA6</f>
        <v>318</v>
      </c>
    </row>
    <row r="7" spans="1:80" ht="18" customHeight="1" x14ac:dyDescent="0.2">
      <c r="A7" s="34">
        <v>5</v>
      </c>
      <c r="B7" s="34" t="s">
        <v>406</v>
      </c>
      <c r="C7" s="34">
        <v>71</v>
      </c>
      <c r="D7" s="34">
        <v>82</v>
      </c>
      <c r="E7" s="34">
        <v>12</v>
      </c>
      <c r="F7" s="34">
        <v>53</v>
      </c>
      <c r="G7" s="34">
        <v>86</v>
      </c>
      <c r="H7" s="35">
        <f>C7+D7+E7+F7+G7</f>
        <v>304</v>
      </c>
      <c r="J7" s="34">
        <v>19</v>
      </c>
      <c r="K7" s="34" t="s">
        <v>407</v>
      </c>
      <c r="L7" s="34">
        <v>42</v>
      </c>
      <c r="M7" s="34">
        <v>26</v>
      </c>
      <c r="N7" s="34">
        <v>76</v>
      </c>
      <c r="O7" s="34">
        <v>61</v>
      </c>
      <c r="P7" s="34">
        <v>39</v>
      </c>
      <c r="Q7" s="35">
        <f>L7+M7+N7+O7+P7</f>
        <v>244</v>
      </c>
      <c r="S7" s="34">
        <v>71</v>
      </c>
      <c r="T7" s="34" t="s">
        <v>408</v>
      </c>
      <c r="U7" s="34">
        <v>71</v>
      </c>
      <c r="V7" s="34">
        <v>44</v>
      </c>
      <c r="W7" s="34">
        <v>45</v>
      </c>
      <c r="X7" s="34">
        <v>25</v>
      </c>
      <c r="Y7" s="34">
        <v>57</v>
      </c>
      <c r="Z7" s="35">
        <f>U7+V7+W7+X7+Y7</f>
        <v>242</v>
      </c>
      <c r="AB7" s="34">
        <v>123</v>
      </c>
      <c r="AC7" s="34" t="s">
        <v>409</v>
      </c>
      <c r="AD7" s="34">
        <v>6</v>
      </c>
      <c r="AE7" s="34">
        <v>54</v>
      </c>
      <c r="AF7" s="34">
        <v>18</v>
      </c>
      <c r="AG7" s="34">
        <v>31</v>
      </c>
      <c r="AH7" s="34">
        <v>69</v>
      </c>
      <c r="AI7" s="35">
        <f>AD7+AE7+AF7+AG7+AH7</f>
        <v>178</v>
      </c>
      <c r="AK7" s="34">
        <v>175</v>
      </c>
      <c r="AL7" s="34" t="s">
        <v>410</v>
      </c>
      <c r="AM7" s="34">
        <v>63</v>
      </c>
      <c r="AN7" s="34">
        <v>17</v>
      </c>
      <c r="AO7" s="34">
        <v>12</v>
      </c>
      <c r="AP7" s="34">
        <v>87</v>
      </c>
      <c r="AQ7" s="34">
        <v>86</v>
      </c>
      <c r="AR7" s="35">
        <f>AM7+AN7+AO7+AP7+AQ7</f>
        <v>265</v>
      </c>
      <c r="AT7" s="34">
        <v>228</v>
      </c>
      <c r="AU7" s="34" t="s">
        <v>411</v>
      </c>
      <c r="AV7" s="34">
        <v>51</v>
      </c>
      <c r="AW7" s="34">
        <v>21</v>
      </c>
      <c r="AX7" s="34">
        <v>30</v>
      </c>
      <c r="AY7" s="34">
        <v>2</v>
      </c>
      <c r="AZ7" s="34">
        <v>87</v>
      </c>
      <c r="BA7" s="35">
        <f>AV7+AW7+AX7+AY7+AZ7</f>
        <v>191</v>
      </c>
      <c r="BC7" s="34">
        <v>280</v>
      </c>
      <c r="BD7" s="34" t="s">
        <v>412</v>
      </c>
      <c r="BE7" s="34">
        <v>34</v>
      </c>
      <c r="BF7" s="34">
        <v>79</v>
      </c>
      <c r="BG7" s="34">
        <v>53</v>
      </c>
      <c r="BH7" s="34">
        <v>75</v>
      </c>
      <c r="BI7" s="34">
        <v>31</v>
      </c>
      <c r="BJ7" s="35">
        <f>BE7+BF7+BG7+BH7+BI7</f>
        <v>272</v>
      </c>
      <c r="BL7" s="34">
        <v>332</v>
      </c>
      <c r="BM7" s="34" t="s">
        <v>408</v>
      </c>
      <c r="BN7" s="34">
        <v>24</v>
      </c>
      <c r="BO7" s="34">
        <v>79</v>
      </c>
      <c r="BP7" s="34">
        <v>5</v>
      </c>
      <c r="BQ7" s="34">
        <v>21</v>
      </c>
      <c r="BR7" s="34">
        <v>56</v>
      </c>
      <c r="BS7" s="35">
        <f>BN7+BO7+BP7+BQ7+BR7</f>
        <v>185</v>
      </c>
      <c r="BU7" s="34">
        <v>384</v>
      </c>
      <c r="BV7" s="34" t="s">
        <v>413</v>
      </c>
      <c r="BW7" s="34">
        <v>55</v>
      </c>
      <c r="BX7" s="34">
        <v>31</v>
      </c>
      <c r="BY7" s="34">
        <v>57</v>
      </c>
      <c r="BZ7" s="34">
        <v>26</v>
      </c>
      <c r="CA7" s="34">
        <v>28</v>
      </c>
      <c r="CB7" s="35">
        <f>BW7+BX7+BY7+BZ7+CA7</f>
        <v>197</v>
      </c>
    </row>
    <row r="8" spans="1:80" ht="18" customHeight="1" x14ac:dyDescent="0.2">
      <c r="A8" s="36">
        <v>6</v>
      </c>
      <c r="B8" s="36" t="s">
        <v>414</v>
      </c>
      <c r="C8" s="36">
        <v>28</v>
      </c>
      <c r="D8" s="36">
        <v>84</v>
      </c>
      <c r="E8" s="36">
        <v>50</v>
      </c>
      <c r="F8" s="36">
        <v>48</v>
      </c>
      <c r="G8" s="36">
        <v>52</v>
      </c>
      <c r="H8" s="35">
        <f>C8+D8+E8+F8+G8</f>
        <v>262</v>
      </c>
      <c r="J8" s="36">
        <v>20</v>
      </c>
      <c r="K8" s="36" t="s">
        <v>415</v>
      </c>
      <c r="L8" s="36">
        <v>77</v>
      </c>
      <c r="M8" s="36">
        <v>41</v>
      </c>
      <c r="N8" s="36">
        <v>32</v>
      </c>
      <c r="O8" s="36">
        <v>79</v>
      </c>
      <c r="P8" s="36">
        <v>8</v>
      </c>
      <c r="Q8" s="35">
        <f>L8+M8+N8+O8+P8</f>
        <v>237</v>
      </c>
      <c r="S8" s="36">
        <v>72</v>
      </c>
      <c r="T8" s="36" t="s">
        <v>416</v>
      </c>
      <c r="U8" s="36">
        <v>61</v>
      </c>
      <c r="V8" s="36">
        <v>28</v>
      </c>
      <c r="W8" s="36">
        <v>54</v>
      </c>
      <c r="X8" s="36">
        <v>21</v>
      </c>
      <c r="Y8" s="36">
        <v>12</v>
      </c>
      <c r="Z8" s="35">
        <f>U8+V8+W8+X8+Y8</f>
        <v>176</v>
      </c>
      <c r="AB8" s="36">
        <v>124</v>
      </c>
      <c r="AC8" s="36" t="s">
        <v>417</v>
      </c>
      <c r="AD8" s="36">
        <v>33</v>
      </c>
      <c r="AE8" s="36">
        <v>59</v>
      </c>
      <c r="AF8" s="36">
        <v>47</v>
      </c>
      <c r="AG8" s="36">
        <v>85</v>
      </c>
      <c r="AH8" s="36">
        <v>53</v>
      </c>
      <c r="AI8" s="35">
        <f>AD8+AE8+AF8+AG8+AH8</f>
        <v>277</v>
      </c>
      <c r="AK8" s="36">
        <v>176</v>
      </c>
      <c r="AL8" s="36" t="s">
        <v>418</v>
      </c>
      <c r="AM8" s="36">
        <v>28</v>
      </c>
      <c r="AN8" s="36">
        <v>86</v>
      </c>
      <c r="AO8" s="36">
        <v>89</v>
      </c>
      <c r="AP8" s="36">
        <v>36</v>
      </c>
      <c r="AQ8" s="36">
        <v>20</v>
      </c>
      <c r="AR8" s="35">
        <f>AM8+AN8+AO8+AP8+AQ8</f>
        <v>259</v>
      </c>
      <c r="AT8" s="36">
        <v>229</v>
      </c>
      <c r="AU8" s="36" t="s">
        <v>419</v>
      </c>
      <c r="AV8" s="36">
        <v>79</v>
      </c>
      <c r="AW8" s="36">
        <v>56</v>
      </c>
      <c r="AX8" s="36">
        <v>32</v>
      </c>
      <c r="AY8" s="36">
        <v>16</v>
      </c>
      <c r="AZ8" s="36">
        <v>28</v>
      </c>
      <c r="BA8" s="35">
        <f>AV8+AW8+AX8+AY8+AZ8</f>
        <v>211</v>
      </c>
      <c r="BC8" s="36">
        <v>281</v>
      </c>
      <c r="BD8" s="36" t="s">
        <v>420</v>
      </c>
      <c r="BE8" s="36">
        <v>69</v>
      </c>
      <c r="BF8" s="36">
        <v>74</v>
      </c>
      <c r="BG8" s="36">
        <v>51</v>
      </c>
      <c r="BH8" s="36">
        <v>38</v>
      </c>
      <c r="BI8" s="36">
        <v>71</v>
      </c>
      <c r="BJ8" s="35">
        <f>BE8+BF8+BG8+BH8+BI8</f>
        <v>303</v>
      </c>
      <c r="BL8" s="36">
        <v>333</v>
      </c>
      <c r="BM8" s="36" t="s">
        <v>416</v>
      </c>
      <c r="BN8" s="36">
        <v>33</v>
      </c>
      <c r="BO8" s="36">
        <v>74</v>
      </c>
      <c r="BP8" s="36">
        <v>78</v>
      </c>
      <c r="BQ8" s="36">
        <v>11</v>
      </c>
      <c r="BR8" s="36">
        <v>90</v>
      </c>
      <c r="BS8" s="35">
        <f>BN8+BO8+BP8+BQ8+BR8</f>
        <v>286</v>
      </c>
      <c r="BU8" s="36">
        <v>385</v>
      </c>
      <c r="BV8" s="36" t="s">
        <v>421</v>
      </c>
      <c r="BW8" s="36">
        <v>77</v>
      </c>
      <c r="BX8" s="36">
        <v>51</v>
      </c>
      <c r="BY8" s="36">
        <v>55</v>
      </c>
      <c r="BZ8" s="36">
        <v>23</v>
      </c>
      <c r="CA8" s="36">
        <v>89</v>
      </c>
      <c r="CB8" s="35">
        <f>BW8+BX8+BY8+BZ8+CA8</f>
        <v>295</v>
      </c>
    </row>
    <row r="9" spans="1:80" ht="18" customHeight="1" x14ac:dyDescent="0.2">
      <c r="A9" s="34">
        <v>7</v>
      </c>
      <c r="B9" s="34" t="s">
        <v>422</v>
      </c>
      <c r="C9" s="34">
        <v>31</v>
      </c>
      <c r="D9" s="34">
        <v>37</v>
      </c>
      <c r="E9" s="34">
        <v>78</v>
      </c>
      <c r="F9" s="34">
        <v>24</v>
      </c>
      <c r="G9" s="34">
        <v>7</v>
      </c>
      <c r="H9" s="35">
        <f>C9+D9+E9+F9+G9</f>
        <v>177</v>
      </c>
      <c r="J9" s="34">
        <v>21</v>
      </c>
      <c r="K9" s="34" t="s">
        <v>423</v>
      </c>
      <c r="L9" s="34">
        <v>42</v>
      </c>
      <c r="M9" s="34">
        <v>70</v>
      </c>
      <c r="N9" s="34">
        <v>71</v>
      </c>
      <c r="O9" s="34">
        <v>9</v>
      </c>
      <c r="P9" s="34">
        <v>74</v>
      </c>
      <c r="Q9" s="35">
        <f>L9+M9+N9+O9+P9</f>
        <v>266</v>
      </c>
      <c r="S9" s="34">
        <v>73</v>
      </c>
      <c r="T9" s="34" t="s">
        <v>424</v>
      </c>
      <c r="U9" s="34">
        <v>29</v>
      </c>
      <c r="V9" s="34">
        <v>87</v>
      </c>
      <c r="W9" s="34">
        <v>85</v>
      </c>
      <c r="X9" s="34">
        <v>65</v>
      </c>
      <c r="Y9" s="34">
        <v>64</v>
      </c>
      <c r="Z9" s="35">
        <f>U9+V9+W9+X9+Y9</f>
        <v>330</v>
      </c>
      <c r="AB9" s="34">
        <v>125</v>
      </c>
      <c r="AC9" s="34" t="s">
        <v>425</v>
      </c>
      <c r="AD9" s="34">
        <v>57</v>
      </c>
      <c r="AE9" s="34">
        <v>13</v>
      </c>
      <c r="AF9" s="34">
        <v>80</v>
      </c>
      <c r="AG9" s="34">
        <v>83</v>
      </c>
      <c r="AH9" s="34">
        <v>30</v>
      </c>
      <c r="AI9" s="35">
        <f>AD9+AE9+AF9+AG9+AH9</f>
        <v>263</v>
      </c>
      <c r="AK9" s="34">
        <v>177</v>
      </c>
      <c r="AL9" s="34" t="s">
        <v>426</v>
      </c>
      <c r="AM9" s="34">
        <v>89</v>
      </c>
      <c r="AN9" s="34">
        <v>61</v>
      </c>
      <c r="AO9" s="34">
        <v>78</v>
      </c>
      <c r="AP9" s="34">
        <v>21</v>
      </c>
      <c r="AQ9" s="34">
        <v>80</v>
      </c>
      <c r="AR9" s="35">
        <f>AM9+AN9+AO9+AP9+AQ9</f>
        <v>329</v>
      </c>
      <c r="AT9" s="34">
        <v>230</v>
      </c>
      <c r="AU9" s="34" t="s">
        <v>427</v>
      </c>
      <c r="AV9" s="34">
        <v>31</v>
      </c>
      <c r="AW9" s="34">
        <v>67</v>
      </c>
      <c r="AX9" s="34">
        <v>88</v>
      </c>
      <c r="AY9" s="34">
        <v>71</v>
      </c>
      <c r="AZ9" s="34">
        <v>40</v>
      </c>
      <c r="BA9" s="35">
        <f>AV9+AW9+AX9+AY9+AZ9</f>
        <v>297</v>
      </c>
      <c r="BC9" s="34">
        <v>282</v>
      </c>
      <c r="BD9" s="34" t="s">
        <v>428</v>
      </c>
      <c r="BE9" s="34">
        <v>27</v>
      </c>
      <c r="BF9" s="34">
        <v>36</v>
      </c>
      <c r="BG9" s="34">
        <v>61</v>
      </c>
      <c r="BH9" s="34">
        <v>67</v>
      </c>
      <c r="BI9" s="34">
        <v>69</v>
      </c>
      <c r="BJ9" s="35">
        <f>BE9+BF9+BG9+BH9+BI9</f>
        <v>260</v>
      </c>
      <c r="BL9" s="34">
        <v>334</v>
      </c>
      <c r="BM9" s="34" t="s">
        <v>424</v>
      </c>
      <c r="BN9" s="34">
        <v>27</v>
      </c>
      <c r="BO9" s="34">
        <v>72</v>
      </c>
      <c r="BP9" s="34">
        <v>85</v>
      </c>
      <c r="BQ9" s="34">
        <v>25</v>
      </c>
      <c r="BR9" s="34">
        <v>77</v>
      </c>
      <c r="BS9" s="35">
        <f>BN9+BO9+BP9+BQ9+BR9</f>
        <v>286</v>
      </c>
      <c r="BU9" s="34">
        <v>386</v>
      </c>
      <c r="BV9" s="34" t="s">
        <v>429</v>
      </c>
      <c r="BW9" s="34">
        <v>7</v>
      </c>
      <c r="BX9" s="34">
        <v>42</v>
      </c>
      <c r="BY9" s="34">
        <v>45</v>
      </c>
      <c r="BZ9" s="34">
        <v>57</v>
      </c>
      <c r="CA9" s="34">
        <v>76</v>
      </c>
      <c r="CB9" s="35">
        <f>BW9+BX9+BY9+BZ9+CA9</f>
        <v>227</v>
      </c>
    </row>
    <row r="10" spans="1:80" ht="18" customHeight="1" x14ac:dyDescent="0.2">
      <c r="A10" s="36">
        <v>8</v>
      </c>
      <c r="B10" s="36" t="s">
        <v>430</v>
      </c>
      <c r="C10" s="36">
        <v>37</v>
      </c>
      <c r="D10" s="36">
        <v>71</v>
      </c>
      <c r="E10" s="36">
        <v>90</v>
      </c>
      <c r="F10" s="36">
        <v>13</v>
      </c>
      <c r="G10" s="36">
        <v>18</v>
      </c>
      <c r="H10" s="35">
        <f>C10+D10+E10+F10+G10</f>
        <v>229</v>
      </c>
      <c r="J10" s="36">
        <v>22</v>
      </c>
      <c r="K10" s="36" t="s">
        <v>431</v>
      </c>
      <c r="L10" s="36">
        <v>34</v>
      </c>
      <c r="M10" s="36">
        <v>39</v>
      </c>
      <c r="N10" s="36">
        <v>48</v>
      </c>
      <c r="O10" s="36">
        <v>22</v>
      </c>
      <c r="P10" s="36">
        <v>69</v>
      </c>
      <c r="Q10" s="35">
        <f>L10+M10+N10+O10+P10</f>
        <v>212</v>
      </c>
      <c r="S10" s="36">
        <v>74</v>
      </c>
      <c r="T10" s="36" t="s">
        <v>432</v>
      </c>
      <c r="U10" s="36">
        <v>87</v>
      </c>
      <c r="V10" s="36">
        <v>59</v>
      </c>
      <c r="W10" s="36">
        <v>83</v>
      </c>
      <c r="X10" s="36">
        <v>30</v>
      </c>
      <c r="Y10" s="36">
        <v>38</v>
      </c>
      <c r="Z10" s="35">
        <f>U10+V10+W10+X10+Y10</f>
        <v>297</v>
      </c>
      <c r="AB10" s="36">
        <v>126</v>
      </c>
      <c r="AC10" s="36" t="s">
        <v>433</v>
      </c>
      <c r="AD10" s="36">
        <v>32</v>
      </c>
      <c r="AE10" s="36">
        <v>3</v>
      </c>
      <c r="AF10" s="36">
        <v>69</v>
      </c>
      <c r="AG10" s="36">
        <v>48</v>
      </c>
      <c r="AH10" s="36">
        <v>54</v>
      </c>
      <c r="AI10" s="35">
        <f>AD10+AE10+AF10+AG10+AH10</f>
        <v>206</v>
      </c>
      <c r="AK10" s="36">
        <v>178</v>
      </c>
      <c r="AL10" s="36" t="s">
        <v>434</v>
      </c>
      <c r="AM10" s="36">
        <v>6</v>
      </c>
      <c r="AN10" s="36">
        <v>24</v>
      </c>
      <c r="AO10" s="36">
        <v>67</v>
      </c>
      <c r="AP10" s="36">
        <v>86</v>
      </c>
      <c r="AQ10" s="36">
        <v>31</v>
      </c>
      <c r="AR10" s="35">
        <f>AM10+AN10+AO10+AP10+AQ10</f>
        <v>214</v>
      </c>
      <c r="AT10" s="36">
        <v>231</v>
      </c>
      <c r="AU10" s="36" t="s">
        <v>435</v>
      </c>
      <c r="AV10" s="36">
        <v>51</v>
      </c>
      <c r="AW10" s="36">
        <v>33</v>
      </c>
      <c r="AX10" s="36">
        <v>73</v>
      </c>
      <c r="AY10" s="36">
        <v>42</v>
      </c>
      <c r="AZ10" s="36">
        <v>90</v>
      </c>
      <c r="BA10" s="35">
        <f>AV10+AW10+AX10+AY10+AZ10</f>
        <v>289</v>
      </c>
      <c r="BC10" s="36">
        <v>283</v>
      </c>
      <c r="BD10" s="36" t="s">
        <v>436</v>
      </c>
      <c r="BE10" s="36">
        <v>18</v>
      </c>
      <c r="BF10" s="36">
        <v>58</v>
      </c>
      <c r="BG10" s="36">
        <v>78</v>
      </c>
      <c r="BH10" s="36">
        <v>70</v>
      </c>
      <c r="BI10" s="36">
        <v>66</v>
      </c>
      <c r="BJ10" s="35">
        <f>BE10+BF10+BG10+BH10+BI10</f>
        <v>290</v>
      </c>
      <c r="BL10" s="36">
        <v>335</v>
      </c>
      <c r="BM10" s="36" t="s">
        <v>432</v>
      </c>
      <c r="BN10" s="36">
        <v>15</v>
      </c>
      <c r="BO10" s="36">
        <v>77</v>
      </c>
      <c r="BP10" s="36">
        <v>12</v>
      </c>
      <c r="BQ10" s="36">
        <v>87</v>
      </c>
      <c r="BR10" s="36">
        <v>62</v>
      </c>
      <c r="BS10" s="35">
        <f>BN10+BO10+BP10+BQ10+BR10</f>
        <v>253</v>
      </c>
      <c r="BU10" s="36">
        <v>387</v>
      </c>
      <c r="BV10" s="36" t="s">
        <v>437</v>
      </c>
      <c r="BW10" s="36">
        <v>10</v>
      </c>
      <c r="BX10" s="36">
        <v>4</v>
      </c>
      <c r="BY10" s="36">
        <v>85</v>
      </c>
      <c r="BZ10" s="36">
        <v>74</v>
      </c>
      <c r="CA10" s="36">
        <v>11</v>
      </c>
      <c r="CB10" s="35">
        <f>BW10+BX10+BY10+BZ10+CA10</f>
        <v>184</v>
      </c>
    </row>
    <row r="11" spans="1:80" ht="18" customHeight="1" x14ac:dyDescent="0.2">
      <c r="A11" s="34">
        <v>9</v>
      </c>
      <c r="B11" s="34" t="s">
        <v>438</v>
      </c>
      <c r="C11" s="34">
        <v>80</v>
      </c>
      <c r="D11" s="34">
        <v>40</v>
      </c>
      <c r="E11" s="34">
        <v>76</v>
      </c>
      <c r="F11" s="34">
        <v>66</v>
      </c>
      <c r="G11" s="34">
        <v>8</v>
      </c>
      <c r="H11" s="35">
        <f>C11+D11+E11+F11+G11</f>
        <v>270</v>
      </c>
      <c r="J11" s="34">
        <v>23</v>
      </c>
      <c r="K11" s="34" t="s">
        <v>439</v>
      </c>
      <c r="L11" s="34">
        <v>75</v>
      </c>
      <c r="M11" s="34">
        <v>52</v>
      </c>
      <c r="N11" s="34">
        <v>27</v>
      </c>
      <c r="O11" s="34">
        <v>1</v>
      </c>
      <c r="P11" s="34">
        <v>12</v>
      </c>
      <c r="Q11" s="35">
        <f>L11+M11+N11+O11+P11</f>
        <v>167</v>
      </c>
      <c r="S11" s="34">
        <v>75</v>
      </c>
      <c r="T11" s="34" t="s">
        <v>440</v>
      </c>
      <c r="U11" s="34">
        <v>71</v>
      </c>
      <c r="V11" s="34">
        <v>1</v>
      </c>
      <c r="W11" s="34">
        <v>73</v>
      </c>
      <c r="X11" s="34">
        <v>4</v>
      </c>
      <c r="Y11" s="34">
        <v>68</v>
      </c>
      <c r="Z11" s="35">
        <f>U11+V11+W11+X11+Y11</f>
        <v>217</v>
      </c>
      <c r="AB11" s="34">
        <v>127</v>
      </c>
      <c r="AC11" s="34" t="s">
        <v>441</v>
      </c>
      <c r="AD11" s="34">
        <v>77</v>
      </c>
      <c r="AE11" s="34">
        <v>53</v>
      </c>
      <c r="AF11" s="34">
        <v>32</v>
      </c>
      <c r="AG11" s="34">
        <v>13</v>
      </c>
      <c r="AH11" s="34">
        <v>80</v>
      </c>
      <c r="AI11" s="35">
        <f>AD11+AE11+AF11+AG11+AH11</f>
        <v>255</v>
      </c>
      <c r="AK11" s="34">
        <v>179</v>
      </c>
      <c r="AL11" s="34" t="s">
        <v>442</v>
      </c>
      <c r="AM11" s="34">
        <v>57</v>
      </c>
      <c r="AN11" s="34">
        <v>28</v>
      </c>
      <c r="AO11" s="34">
        <v>26</v>
      </c>
      <c r="AP11" s="34">
        <v>22</v>
      </c>
      <c r="AQ11" s="34">
        <v>82</v>
      </c>
      <c r="AR11" s="35">
        <f>AM11+AN11+AO11+AP11+AQ11</f>
        <v>215</v>
      </c>
      <c r="AT11" s="34">
        <v>232</v>
      </c>
      <c r="AU11" s="34" t="s">
        <v>443</v>
      </c>
      <c r="AV11" s="34">
        <v>60</v>
      </c>
      <c r="AW11" s="34">
        <v>14</v>
      </c>
      <c r="AX11" s="34">
        <v>19</v>
      </c>
      <c r="AY11" s="34">
        <v>38</v>
      </c>
      <c r="AZ11" s="34">
        <v>79</v>
      </c>
      <c r="BA11" s="35">
        <f>AV11+AW11+AX11+AY11+AZ11</f>
        <v>210</v>
      </c>
      <c r="BC11" s="34">
        <v>284</v>
      </c>
      <c r="BD11" s="34" t="s">
        <v>439</v>
      </c>
      <c r="BE11" s="34">
        <v>33</v>
      </c>
      <c r="BF11" s="34">
        <v>66</v>
      </c>
      <c r="BG11" s="34">
        <v>77</v>
      </c>
      <c r="BH11" s="34">
        <v>35</v>
      </c>
      <c r="BI11" s="34">
        <v>37</v>
      </c>
      <c r="BJ11" s="35">
        <f>BE11+BF11+BG11+BH11+BI11</f>
        <v>248</v>
      </c>
      <c r="BL11" s="34">
        <v>336</v>
      </c>
      <c r="BM11" s="34" t="s">
        <v>444</v>
      </c>
      <c r="BN11" s="34">
        <v>38</v>
      </c>
      <c r="BO11" s="34">
        <v>57</v>
      </c>
      <c r="BP11" s="34">
        <v>28</v>
      </c>
      <c r="BQ11" s="34">
        <v>70</v>
      </c>
      <c r="BR11" s="34">
        <v>90</v>
      </c>
      <c r="BS11" s="35">
        <f>BN11+BO11+BP11+BQ11+BR11</f>
        <v>283</v>
      </c>
      <c r="BU11" s="34">
        <v>388</v>
      </c>
      <c r="BV11" s="34" t="s">
        <v>445</v>
      </c>
      <c r="BW11" s="34">
        <v>21</v>
      </c>
      <c r="BX11" s="34">
        <v>59</v>
      </c>
      <c r="BY11" s="34">
        <v>72</v>
      </c>
      <c r="BZ11" s="34">
        <v>53</v>
      </c>
      <c r="CA11" s="34">
        <v>76</v>
      </c>
      <c r="CB11" s="35">
        <f>BW11+BX11+BY11+BZ11+CA11</f>
        <v>281</v>
      </c>
    </row>
    <row r="12" spans="1:80" ht="18" customHeight="1" x14ac:dyDescent="0.2">
      <c r="A12" s="36">
        <v>10</v>
      </c>
      <c r="B12" s="36" t="s">
        <v>447</v>
      </c>
      <c r="C12" s="36">
        <v>43</v>
      </c>
      <c r="D12" s="36">
        <v>90</v>
      </c>
      <c r="E12" s="36">
        <v>51</v>
      </c>
      <c r="F12" s="36">
        <v>61</v>
      </c>
      <c r="G12" s="36">
        <v>8</v>
      </c>
      <c r="H12" s="35">
        <f>C12+D12+E12+F12+G12</f>
        <v>253</v>
      </c>
      <c r="J12" s="36">
        <v>24</v>
      </c>
      <c r="K12" s="36" t="s">
        <v>448</v>
      </c>
      <c r="L12" s="36">
        <v>36</v>
      </c>
      <c r="M12" s="36">
        <v>51</v>
      </c>
      <c r="N12" s="36">
        <v>46</v>
      </c>
      <c r="O12" s="36">
        <v>23</v>
      </c>
      <c r="P12" s="36">
        <v>38</v>
      </c>
      <c r="Q12" s="35">
        <f>L12+M12+N12+O12+P12</f>
        <v>194</v>
      </c>
      <c r="S12" s="36">
        <v>76</v>
      </c>
      <c r="T12" s="36" t="s">
        <v>449</v>
      </c>
      <c r="U12" s="36">
        <v>44</v>
      </c>
      <c r="V12" s="36">
        <v>54</v>
      </c>
      <c r="W12" s="36">
        <v>28</v>
      </c>
      <c r="X12" s="36">
        <v>50</v>
      </c>
      <c r="Y12" s="36">
        <v>2</v>
      </c>
      <c r="Z12" s="35">
        <f>U12+V12+W12+X12+Y12</f>
        <v>178</v>
      </c>
      <c r="AB12" s="36">
        <v>128</v>
      </c>
      <c r="AC12" s="36" t="s">
        <v>450</v>
      </c>
      <c r="AD12" s="36">
        <v>8</v>
      </c>
      <c r="AE12" s="36">
        <v>29</v>
      </c>
      <c r="AF12" s="36">
        <v>39</v>
      </c>
      <c r="AG12" s="36">
        <v>15</v>
      </c>
      <c r="AH12" s="36">
        <v>28</v>
      </c>
      <c r="AI12" s="35">
        <f>AD12+AE12+AF12+AG12+AH12</f>
        <v>119</v>
      </c>
      <c r="AK12" s="36">
        <v>180</v>
      </c>
      <c r="AL12" s="36" t="s">
        <v>451</v>
      </c>
      <c r="AM12" s="36">
        <v>45</v>
      </c>
      <c r="AN12" s="36">
        <v>55</v>
      </c>
      <c r="AO12" s="36">
        <v>43</v>
      </c>
      <c r="AP12" s="36">
        <v>19</v>
      </c>
      <c r="AQ12" s="36">
        <v>53</v>
      </c>
      <c r="AR12" s="35">
        <f>AM12+AN12+AO12+AP12+AQ12</f>
        <v>215</v>
      </c>
      <c r="AT12" s="36">
        <v>233</v>
      </c>
      <c r="AU12" s="36" t="s">
        <v>452</v>
      </c>
      <c r="AV12" s="36">
        <v>58</v>
      </c>
      <c r="AW12" s="36">
        <v>2</v>
      </c>
      <c r="AX12" s="36">
        <v>60</v>
      </c>
      <c r="AY12" s="36">
        <v>42</v>
      </c>
      <c r="AZ12" s="36">
        <v>90</v>
      </c>
      <c r="BA12" s="35">
        <f>AV12+AW12+AX12+AY12+AZ12</f>
        <v>252</v>
      </c>
      <c r="BC12" s="36">
        <v>285</v>
      </c>
      <c r="BD12" s="36" t="s">
        <v>448</v>
      </c>
      <c r="BE12" s="36">
        <v>80</v>
      </c>
      <c r="BF12" s="36">
        <v>40</v>
      </c>
      <c r="BG12" s="36">
        <v>51</v>
      </c>
      <c r="BH12" s="36">
        <v>16</v>
      </c>
      <c r="BI12" s="36">
        <v>70</v>
      </c>
      <c r="BJ12" s="35">
        <f>BE12+BF12+BG12+BH12+BI12</f>
        <v>257</v>
      </c>
      <c r="BL12" s="36">
        <v>337</v>
      </c>
      <c r="BM12" s="36" t="s">
        <v>453</v>
      </c>
      <c r="BN12" s="36">
        <v>77</v>
      </c>
      <c r="BO12" s="36">
        <v>38</v>
      </c>
      <c r="BP12" s="36">
        <v>89</v>
      </c>
      <c r="BQ12" s="36">
        <v>65</v>
      </c>
      <c r="BR12" s="36">
        <v>75</v>
      </c>
      <c r="BS12" s="35">
        <f>BN12+BO12+BP12+BQ12+BR12</f>
        <v>344</v>
      </c>
      <c r="BU12" s="36">
        <v>389</v>
      </c>
      <c r="BV12" s="36" t="s">
        <v>449</v>
      </c>
      <c r="BW12" s="36">
        <v>73</v>
      </c>
      <c r="BX12" s="36">
        <v>41</v>
      </c>
      <c r="BY12" s="36">
        <v>28</v>
      </c>
      <c r="BZ12" s="36">
        <v>71</v>
      </c>
      <c r="CA12" s="36">
        <v>55</v>
      </c>
      <c r="CB12" s="35">
        <f>BW12+BX12+BY12+BZ12+CA12</f>
        <v>268</v>
      </c>
    </row>
    <row r="13" spans="1:80" ht="18" customHeight="1" x14ac:dyDescent="0.2">
      <c r="A13" s="34">
        <v>11</v>
      </c>
      <c r="B13" s="34" t="s">
        <v>454</v>
      </c>
      <c r="C13" s="34">
        <v>46</v>
      </c>
      <c r="D13" s="34">
        <v>53</v>
      </c>
      <c r="E13" s="34">
        <v>90</v>
      </c>
      <c r="F13" s="34">
        <v>12</v>
      </c>
      <c r="G13" s="34">
        <v>19</v>
      </c>
      <c r="H13" s="35">
        <f>C13+D13+E13+F13+G13</f>
        <v>220</v>
      </c>
      <c r="J13" s="34">
        <v>25</v>
      </c>
      <c r="K13" s="34" t="s">
        <v>455</v>
      </c>
      <c r="L13" s="34">
        <v>70</v>
      </c>
      <c r="M13" s="34">
        <v>45</v>
      </c>
      <c r="N13" s="34">
        <v>48</v>
      </c>
      <c r="O13" s="34">
        <v>46</v>
      </c>
      <c r="P13" s="34">
        <v>63</v>
      </c>
      <c r="Q13" s="35">
        <f>L13+M13+N13+O13+P13</f>
        <v>272</v>
      </c>
      <c r="S13" s="34">
        <v>77</v>
      </c>
      <c r="T13" s="34" t="s">
        <v>456</v>
      </c>
      <c r="U13" s="34">
        <v>74</v>
      </c>
      <c r="V13" s="34">
        <v>45</v>
      </c>
      <c r="W13" s="34">
        <v>43</v>
      </c>
      <c r="X13" s="34">
        <v>61</v>
      </c>
      <c r="Y13" s="34">
        <v>22</v>
      </c>
      <c r="Z13" s="35">
        <f>U13+V13+W13+X13+Y13</f>
        <v>245</v>
      </c>
      <c r="AB13" s="34">
        <v>129</v>
      </c>
      <c r="AC13" s="34" t="s">
        <v>457</v>
      </c>
      <c r="AD13" s="34">
        <v>81</v>
      </c>
      <c r="AE13" s="34">
        <v>28</v>
      </c>
      <c r="AF13" s="34">
        <v>62</v>
      </c>
      <c r="AG13" s="34">
        <v>87</v>
      </c>
      <c r="AH13" s="34">
        <v>78</v>
      </c>
      <c r="AI13" s="35">
        <f>AD13+AE13+AF13+AG13+AH13</f>
        <v>336</v>
      </c>
      <c r="AK13" s="34">
        <v>181</v>
      </c>
      <c r="AL13" s="34" t="s">
        <v>458</v>
      </c>
      <c r="AM13" s="34">
        <v>57</v>
      </c>
      <c r="AN13" s="34">
        <v>32</v>
      </c>
      <c r="AO13" s="34">
        <v>67</v>
      </c>
      <c r="AP13" s="34">
        <v>90</v>
      </c>
      <c r="AQ13" s="34">
        <v>2</v>
      </c>
      <c r="AR13" s="35">
        <f>AM13+AN13+AO13+AP13+AQ13</f>
        <v>248</v>
      </c>
      <c r="AT13" s="34">
        <v>234</v>
      </c>
      <c r="AU13" s="34" t="s">
        <v>459</v>
      </c>
      <c r="AV13" s="34">
        <v>25</v>
      </c>
      <c r="AW13" s="34">
        <v>69</v>
      </c>
      <c r="AX13" s="34">
        <v>82</v>
      </c>
      <c r="AY13" s="34">
        <v>39</v>
      </c>
      <c r="AZ13" s="34">
        <v>37</v>
      </c>
      <c r="BA13" s="35">
        <f>AV13+AW13+AX13+AY13+AZ13</f>
        <v>252</v>
      </c>
      <c r="BC13" s="34">
        <v>286</v>
      </c>
      <c r="BD13" s="34" t="s">
        <v>455</v>
      </c>
      <c r="BE13" s="34">
        <v>83</v>
      </c>
      <c r="BF13" s="34">
        <v>67</v>
      </c>
      <c r="BG13" s="34">
        <v>25</v>
      </c>
      <c r="BH13" s="34">
        <v>21</v>
      </c>
      <c r="BI13" s="34">
        <v>33</v>
      </c>
      <c r="BJ13" s="35">
        <f>BE13+BF13+BG13+BH13+BI13</f>
        <v>229</v>
      </c>
      <c r="BL13" s="34">
        <v>338</v>
      </c>
      <c r="BM13" s="34" t="s">
        <v>460</v>
      </c>
      <c r="BN13" s="34">
        <v>59</v>
      </c>
      <c r="BO13" s="34">
        <v>26</v>
      </c>
      <c r="BP13" s="34">
        <v>9</v>
      </c>
      <c r="BQ13" s="34">
        <v>17</v>
      </c>
      <c r="BR13" s="34">
        <v>72</v>
      </c>
      <c r="BS13" s="35">
        <f>BN13+BO13+BP13+BQ13+BR13</f>
        <v>183</v>
      </c>
      <c r="BU13" s="34">
        <v>390</v>
      </c>
      <c r="BV13" s="34" t="s">
        <v>456</v>
      </c>
      <c r="BW13" s="34">
        <v>19</v>
      </c>
      <c r="BX13" s="34">
        <v>59</v>
      </c>
      <c r="BY13" s="34">
        <v>25</v>
      </c>
      <c r="BZ13" s="34">
        <v>12</v>
      </c>
      <c r="CA13" s="34">
        <v>88</v>
      </c>
      <c r="CB13" s="35">
        <f>BW13+BX13+BY13+BZ13+CA13</f>
        <v>203</v>
      </c>
    </row>
    <row r="14" spans="1:80" ht="18" customHeight="1" x14ac:dyDescent="0.2">
      <c r="A14" s="36">
        <v>12</v>
      </c>
      <c r="B14" s="36" t="s">
        <v>461</v>
      </c>
      <c r="C14" s="36">
        <v>2</v>
      </c>
      <c r="D14" s="36">
        <v>44</v>
      </c>
      <c r="E14" s="36">
        <v>34</v>
      </c>
      <c r="F14" s="36">
        <v>9</v>
      </c>
      <c r="G14" s="36">
        <v>41</v>
      </c>
      <c r="H14" s="35">
        <f>C14+D14+E14+F14+G14</f>
        <v>130</v>
      </c>
      <c r="J14" s="36">
        <v>26</v>
      </c>
      <c r="K14" s="36" t="s">
        <v>462</v>
      </c>
      <c r="L14" s="36">
        <v>27</v>
      </c>
      <c r="M14" s="36">
        <v>12</v>
      </c>
      <c r="N14" s="36">
        <v>29</v>
      </c>
      <c r="O14" s="36">
        <v>42</v>
      </c>
      <c r="P14" s="36">
        <v>17</v>
      </c>
      <c r="Q14" s="35">
        <f>L14+M14+N14+O14+P14</f>
        <v>127</v>
      </c>
      <c r="S14" s="36">
        <v>78</v>
      </c>
      <c r="T14" s="36" t="s">
        <v>463</v>
      </c>
      <c r="U14" s="36">
        <v>82</v>
      </c>
      <c r="V14" s="36">
        <v>90</v>
      </c>
      <c r="W14" s="36">
        <v>32</v>
      </c>
      <c r="X14" s="36">
        <v>27</v>
      </c>
      <c r="Y14" s="36">
        <v>60</v>
      </c>
      <c r="Z14" s="35">
        <f>U14+V14+W14+X14+Y14</f>
        <v>291</v>
      </c>
      <c r="AB14" s="36">
        <v>130</v>
      </c>
      <c r="AC14" s="36" t="s">
        <v>464</v>
      </c>
      <c r="AD14" s="36">
        <v>66</v>
      </c>
      <c r="AE14" s="36">
        <v>3</v>
      </c>
      <c r="AF14" s="36">
        <v>83</v>
      </c>
      <c r="AG14" s="36">
        <v>75</v>
      </c>
      <c r="AH14" s="36">
        <v>71</v>
      </c>
      <c r="AI14" s="35">
        <f>AD14+AE14+AF14+AG14+AH14</f>
        <v>298</v>
      </c>
      <c r="AK14" s="36">
        <v>182</v>
      </c>
      <c r="AL14" s="36" t="s">
        <v>465</v>
      </c>
      <c r="AM14" s="36">
        <v>5</v>
      </c>
      <c r="AN14" s="36">
        <v>82</v>
      </c>
      <c r="AO14" s="36">
        <v>74</v>
      </c>
      <c r="AP14" s="36">
        <v>66</v>
      </c>
      <c r="AQ14" s="36">
        <v>88</v>
      </c>
      <c r="AR14" s="35">
        <f>AM14+AN14+AO14+AP14+AQ14</f>
        <v>315</v>
      </c>
      <c r="AT14" s="36">
        <v>235</v>
      </c>
      <c r="AU14" s="36" t="s">
        <v>466</v>
      </c>
      <c r="AV14" s="36">
        <v>50</v>
      </c>
      <c r="AW14" s="36">
        <v>38</v>
      </c>
      <c r="AX14" s="36">
        <v>7</v>
      </c>
      <c r="AY14" s="36">
        <v>46</v>
      </c>
      <c r="AZ14" s="36">
        <v>4</v>
      </c>
      <c r="BA14" s="35">
        <f>AV14+AW14+AX14+AY14+AZ14</f>
        <v>145</v>
      </c>
      <c r="BC14" s="36">
        <v>287</v>
      </c>
      <c r="BD14" s="36" t="s">
        <v>462</v>
      </c>
      <c r="BE14" s="36">
        <v>19</v>
      </c>
      <c r="BF14" s="36">
        <v>46</v>
      </c>
      <c r="BG14" s="36">
        <v>20</v>
      </c>
      <c r="BH14" s="36">
        <v>51</v>
      </c>
      <c r="BI14" s="36">
        <v>80</v>
      </c>
      <c r="BJ14" s="35">
        <f>BE14+BF14+BG14+BH14+BI14</f>
        <v>216</v>
      </c>
      <c r="BL14" s="36">
        <v>339</v>
      </c>
      <c r="BM14" s="36" t="s">
        <v>467</v>
      </c>
      <c r="BN14" s="36">
        <v>41</v>
      </c>
      <c r="BO14" s="36">
        <v>67</v>
      </c>
      <c r="BP14" s="36">
        <v>7</v>
      </c>
      <c r="BQ14" s="36">
        <v>22</v>
      </c>
      <c r="BR14" s="36">
        <v>18</v>
      </c>
      <c r="BS14" s="35">
        <f>BN14+BO14+BP14+BQ14+BR14</f>
        <v>155</v>
      </c>
      <c r="BU14" s="36">
        <v>391</v>
      </c>
      <c r="BV14" s="36" t="s">
        <v>463</v>
      </c>
      <c r="BW14" s="36">
        <v>70</v>
      </c>
      <c r="BX14" s="36">
        <v>47</v>
      </c>
      <c r="BY14" s="36">
        <v>86</v>
      </c>
      <c r="BZ14" s="36">
        <v>6</v>
      </c>
      <c r="CA14" s="36">
        <v>82</v>
      </c>
      <c r="CB14" s="35">
        <f>BW14+BX14+BY14+BZ14+CA14</f>
        <v>291</v>
      </c>
    </row>
    <row r="15" spans="1:80" ht="18" customHeight="1" x14ac:dyDescent="0.2">
      <c r="A15" s="34">
        <v>13</v>
      </c>
      <c r="B15" s="34" t="s">
        <v>469</v>
      </c>
      <c r="C15" s="34">
        <v>36</v>
      </c>
      <c r="D15" s="34">
        <v>58</v>
      </c>
      <c r="E15" s="34">
        <v>5</v>
      </c>
      <c r="F15" s="34">
        <v>30</v>
      </c>
      <c r="G15" s="34">
        <v>10</v>
      </c>
      <c r="H15" s="35">
        <f>C15+D15+E15+F15+G15</f>
        <v>139</v>
      </c>
      <c r="J15" s="34">
        <v>27</v>
      </c>
      <c r="K15" s="34" t="s">
        <v>470</v>
      </c>
      <c r="L15" s="34">
        <v>38</v>
      </c>
      <c r="M15" s="34">
        <v>50</v>
      </c>
      <c r="N15" s="34">
        <v>64</v>
      </c>
      <c r="O15" s="34">
        <v>59</v>
      </c>
      <c r="P15" s="34">
        <v>35</v>
      </c>
      <c r="Q15" s="35">
        <f>L15+M15+N15+O15+P15</f>
        <v>246</v>
      </c>
      <c r="S15" s="34">
        <v>79</v>
      </c>
      <c r="T15" s="34" t="s">
        <v>471</v>
      </c>
      <c r="U15" s="34">
        <v>73</v>
      </c>
      <c r="V15" s="34">
        <v>56</v>
      </c>
      <c r="W15" s="34">
        <v>25</v>
      </c>
      <c r="X15" s="34">
        <v>1</v>
      </c>
      <c r="Y15" s="34">
        <v>75</v>
      </c>
      <c r="Z15" s="35">
        <f>U15+V15+W15+X15+Y15</f>
        <v>230</v>
      </c>
      <c r="AB15" s="34">
        <v>131</v>
      </c>
      <c r="AC15" s="34" t="s">
        <v>472</v>
      </c>
      <c r="AD15" s="34">
        <v>82</v>
      </c>
      <c r="AE15" s="34">
        <v>84</v>
      </c>
      <c r="AF15" s="34">
        <v>8</v>
      </c>
      <c r="AG15" s="34">
        <v>9</v>
      </c>
      <c r="AH15" s="34">
        <v>28</v>
      </c>
      <c r="AI15" s="35">
        <f>AD15+AE15+AF15+AG15+AH15</f>
        <v>211</v>
      </c>
      <c r="AK15" s="34">
        <v>183</v>
      </c>
      <c r="AL15" s="34" t="s">
        <v>473</v>
      </c>
      <c r="AM15" s="34">
        <v>61</v>
      </c>
      <c r="AN15" s="34">
        <v>11</v>
      </c>
      <c r="AO15" s="34">
        <v>77</v>
      </c>
      <c r="AP15" s="34">
        <v>23</v>
      </c>
      <c r="AQ15" s="34">
        <v>76</v>
      </c>
      <c r="AR15" s="35">
        <f>AM15+AN15+AO15+AP15+AQ15</f>
        <v>248</v>
      </c>
      <c r="AT15" s="34">
        <v>236</v>
      </c>
      <c r="AU15" s="34" t="s">
        <v>474</v>
      </c>
      <c r="AV15" s="34">
        <v>17</v>
      </c>
      <c r="AW15" s="34">
        <v>11</v>
      </c>
      <c r="AX15" s="34">
        <v>44</v>
      </c>
      <c r="AY15" s="34">
        <v>45</v>
      </c>
      <c r="AZ15" s="34">
        <v>52</v>
      </c>
      <c r="BA15" s="35">
        <f>AV15+AW15+AX15+AY15+AZ15</f>
        <v>169</v>
      </c>
      <c r="BC15" s="34">
        <v>288</v>
      </c>
      <c r="BD15" s="34" t="s">
        <v>470</v>
      </c>
      <c r="BE15" s="34">
        <v>32</v>
      </c>
      <c r="BF15" s="34">
        <v>25</v>
      </c>
      <c r="BG15" s="34">
        <v>70</v>
      </c>
      <c r="BH15" s="34">
        <v>87</v>
      </c>
      <c r="BI15" s="34">
        <v>64</v>
      </c>
      <c r="BJ15" s="35">
        <f>BE15+BF15+BG15+BH15+BI15</f>
        <v>278</v>
      </c>
      <c r="BL15" s="34">
        <v>340</v>
      </c>
      <c r="BM15" s="34" t="s">
        <v>475</v>
      </c>
      <c r="BN15" s="34">
        <v>27</v>
      </c>
      <c r="BO15" s="34">
        <v>35</v>
      </c>
      <c r="BP15" s="34">
        <v>66</v>
      </c>
      <c r="BQ15" s="34">
        <v>67</v>
      </c>
      <c r="BR15" s="34">
        <v>2</v>
      </c>
      <c r="BS15" s="35">
        <f>BN15+BO15+BP15+BQ15+BR15</f>
        <v>197</v>
      </c>
      <c r="BU15" s="34">
        <v>392</v>
      </c>
      <c r="BV15" s="34" t="s">
        <v>471</v>
      </c>
      <c r="BW15" s="34">
        <v>33</v>
      </c>
      <c r="BX15" s="34">
        <v>49</v>
      </c>
      <c r="BY15" s="34">
        <v>59</v>
      </c>
      <c r="BZ15" s="34">
        <v>38</v>
      </c>
      <c r="CA15" s="34">
        <v>56</v>
      </c>
      <c r="CB15" s="35">
        <f>BW15+BX15+BY15+BZ15+CA15</f>
        <v>235</v>
      </c>
    </row>
    <row r="16" spans="1:80" ht="18" customHeight="1" x14ac:dyDescent="0.2">
      <c r="A16" s="36">
        <v>14</v>
      </c>
      <c r="B16" s="36" t="s">
        <v>477</v>
      </c>
      <c r="C16" s="36">
        <v>89</v>
      </c>
      <c r="D16" s="36">
        <v>18</v>
      </c>
      <c r="E16" s="36">
        <v>66</v>
      </c>
      <c r="F16" s="36">
        <v>44</v>
      </c>
      <c r="G16" s="36">
        <v>46</v>
      </c>
      <c r="H16" s="35">
        <f>C16+D16+E16+F16+G16</f>
        <v>263</v>
      </c>
      <c r="J16" s="36">
        <v>28</v>
      </c>
      <c r="K16" s="36" t="s">
        <v>478</v>
      </c>
      <c r="L16" s="36">
        <v>44</v>
      </c>
      <c r="M16" s="36">
        <v>72</v>
      </c>
      <c r="N16" s="36">
        <v>76</v>
      </c>
      <c r="O16" s="36">
        <v>26</v>
      </c>
      <c r="P16" s="36">
        <v>2</v>
      </c>
      <c r="Q16" s="35">
        <f>L16+M16+N16+O16+P16</f>
        <v>220</v>
      </c>
      <c r="S16" s="36">
        <v>80</v>
      </c>
      <c r="T16" s="36" t="s">
        <v>479</v>
      </c>
      <c r="U16" s="36">
        <v>26</v>
      </c>
      <c r="V16" s="36">
        <v>87</v>
      </c>
      <c r="W16" s="36">
        <v>55</v>
      </c>
      <c r="X16" s="36">
        <v>47</v>
      </c>
      <c r="Y16" s="36">
        <v>16</v>
      </c>
      <c r="Z16" s="35">
        <f>U16+V16+W16+X16+Y16</f>
        <v>231</v>
      </c>
      <c r="AB16" s="36">
        <v>132</v>
      </c>
      <c r="AC16" s="36" t="s">
        <v>480</v>
      </c>
      <c r="AD16" s="36">
        <v>84</v>
      </c>
      <c r="AE16" s="36">
        <v>87</v>
      </c>
      <c r="AF16" s="36">
        <v>77</v>
      </c>
      <c r="AG16" s="36">
        <v>44</v>
      </c>
      <c r="AH16" s="36">
        <v>53</v>
      </c>
      <c r="AI16" s="35">
        <f>AD16+AE16+AF16+AG16+AH16</f>
        <v>345</v>
      </c>
      <c r="AK16" s="36">
        <v>184</v>
      </c>
      <c r="AL16" s="36" t="s">
        <v>481</v>
      </c>
      <c r="AM16" s="36">
        <v>30</v>
      </c>
      <c r="AN16" s="36">
        <v>44</v>
      </c>
      <c r="AO16" s="36">
        <v>77</v>
      </c>
      <c r="AP16" s="36">
        <v>4</v>
      </c>
      <c r="AQ16" s="36">
        <v>24</v>
      </c>
      <c r="AR16" s="35">
        <f>AM16+AN16+AO16+AP16+AQ16</f>
        <v>179</v>
      </c>
      <c r="AT16" s="36">
        <v>237</v>
      </c>
      <c r="AU16" s="36" t="s">
        <v>482</v>
      </c>
      <c r="AV16" s="36">
        <v>81</v>
      </c>
      <c r="AW16" s="36">
        <v>85</v>
      </c>
      <c r="AX16" s="36">
        <v>36</v>
      </c>
      <c r="AY16" s="36">
        <v>41</v>
      </c>
      <c r="AZ16" s="36">
        <v>90</v>
      </c>
      <c r="BA16" s="35">
        <f>AV16+AW16+AX16+AY16+AZ16</f>
        <v>333</v>
      </c>
      <c r="BC16" s="36">
        <v>289</v>
      </c>
      <c r="BD16" s="36" t="s">
        <v>478</v>
      </c>
      <c r="BE16" s="36">
        <v>29</v>
      </c>
      <c r="BF16" s="36">
        <v>65</v>
      </c>
      <c r="BG16" s="36">
        <v>45</v>
      </c>
      <c r="BH16" s="36">
        <v>66</v>
      </c>
      <c r="BI16" s="36">
        <v>70</v>
      </c>
      <c r="BJ16" s="35">
        <f>BE16+BF16+BG16+BH16+BI16</f>
        <v>275</v>
      </c>
      <c r="BL16" s="36">
        <v>341</v>
      </c>
      <c r="BM16" s="36" t="s">
        <v>483</v>
      </c>
      <c r="BN16" s="36">
        <v>75</v>
      </c>
      <c r="BO16" s="36">
        <v>76</v>
      </c>
      <c r="BP16" s="36">
        <v>37</v>
      </c>
      <c r="BQ16" s="36">
        <v>56</v>
      </c>
      <c r="BR16" s="36">
        <v>80</v>
      </c>
      <c r="BS16" s="35">
        <f>BN16+BO16+BP16+BQ16+BR16</f>
        <v>324</v>
      </c>
      <c r="BU16" s="36">
        <v>393</v>
      </c>
      <c r="BV16" s="36" t="s">
        <v>479</v>
      </c>
      <c r="BW16" s="36">
        <v>13</v>
      </c>
      <c r="BX16" s="36">
        <v>80</v>
      </c>
      <c r="BY16" s="36">
        <v>67</v>
      </c>
      <c r="BZ16" s="36">
        <v>68</v>
      </c>
      <c r="CA16" s="36">
        <v>20</v>
      </c>
      <c r="CB16" s="35">
        <f>BW16+BX16+BY16+BZ16+CA16</f>
        <v>248</v>
      </c>
    </row>
    <row r="17" spans="10:80" ht="18" customHeight="1" x14ac:dyDescent="0.2">
      <c r="J17" s="34">
        <v>29</v>
      </c>
      <c r="K17" s="34" t="s">
        <v>485</v>
      </c>
      <c r="L17" s="34">
        <v>39</v>
      </c>
      <c r="M17" s="34">
        <v>3</v>
      </c>
      <c r="N17" s="34">
        <v>5</v>
      </c>
      <c r="O17" s="34">
        <v>43</v>
      </c>
      <c r="P17" s="34">
        <v>4</v>
      </c>
      <c r="Q17" s="35">
        <f>L17+M17+N17+O17+P17</f>
        <v>94</v>
      </c>
      <c r="S17" s="34">
        <v>81</v>
      </c>
      <c r="T17" s="34" t="s">
        <v>486</v>
      </c>
      <c r="U17" s="34">
        <v>50</v>
      </c>
      <c r="V17" s="34">
        <v>28</v>
      </c>
      <c r="W17" s="34">
        <v>61</v>
      </c>
      <c r="X17" s="34">
        <v>40</v>
      </c>
      <c r="Y17" s="34">
        <v>62</v>
      </c>
      <c r="Z17" s="35">
        <f>U17+V17+W17+X17+Y17</f>
        <v>241</v>
      </c>
      <c r="AB17" s="34">
        <v>133</v>
      </c>
      <c r="AC17" s="34" t="s">
        <v>487</v>
      </c>
      <c r="AD17" s="34">
        <v>9</v>
      </c>
      <c r="AE17" s="34">
        <v>83</v>
      </c>
      <c r="AF17" s="34">
        <v>23</v>
      </c>
      <c r="AG17" s="34">
        <v>38</v>
      </c>
      <c r="AH17" s="34">
        <v>78</v>
      </c>
      <c r="AI17" s="35">
        <f>AD17+AE17+AF17+AG17+AH17</f>
        <v>231</v>
      </c>
      <c r="AK17" s="34">
        <v>185</v>
      </c>
      <c r="AL17" s="34" t="s">
        <v>488</v>
      </c>
      <c r="AM17" s="34">
        <v>13</v>
      </c>
      <c r="AN17" s="34">
        <v>44</v>
      </c>
      <c r="AO17" s="34">
        <v>33</v>
      </c>
      <c r="AP17" s="34">
        <v>51</v>
      </c>
      <c r="AQ17" s="34">
        <v>62</v>
      </c>
      <c r="AR17" s="35">
        <f>AM17+AN17+AO17+AP17+AQ17</f>
        <v>203</v>
      </c>
      <c r="AT17" s="34">
        <v>238</v>
      </c>
      <c r="AU17" s="34" t="s">
        <v>489</v>
      </c>
      <c r="AV17" s="34">
        <v>71</v>
      </c>
      <c r="AW17" s="34">
        <v>86</v>
      </c>
      <c r="AX17" s="34">
        <v>9</v>
      </c>
      <c r="AY17" s="34">
        <v>64</v>
      </c>
      <c r="AZ17" s="34">
        <v>14</v>
      </c>
      <c r="BA17" s="35">
        <f>AV17+AW17+AX17+AY17+AZ17</f>
        <v>244</v>
      </c>
      <c r="BC17" s="34">
        <v>290</v>
      </c>
      <c r="BD17" s="34" t="s">
        <v>485</v>
      </c>
      <c r="BE17" s="34">
        <v>80</v>
      </c>
      <c r="BF17" s="34">
        <v>85</v>
      </c>
      <c r="BG17" s="34">
        <v>87</v>
      </c>
      <c r="BH17" s="34">
        <v>72</v>
      </c>
      <c r="BI17" s="34">
        <v>34</v>
      </c>
      <c r="BJ17" s="35">
        <f>BE17+BF17+BG17+BH17+BI17</f>
        <v>358</v>
      </c>
      <c r="BL17" s="34">
        <v>342</v>
      </c>
      <c r="BM17" s="34" t="s">
        <v>490</v>
      </c>
      <c r="BN17" s="34">
        <v>2</v>
      </c>
      <c r="BO17" s="34">
        <v>83</v>
      </c>
      <c r="BP17" s="34">
        <v>25</v>
      </c>
      <c r="BQ17" s="34">
        <v>11</v>
      </c>
      <c r="BR17" s="34">
        <v>19</v>
      </c>
      <c r="BS17" s="35">
        <f>BN17+BO17+BP17+BQ17+BR17</f>
        <v>140</v>
      </c>
      <c r="BU17" s="34">
        <v>394</v>
      </c>
      <c r="BV17" s="34" t="s">
        <v>486</v>
      </c>
      <c r="BW17" s="34">
        <v>8</v>
      </c>
      <c r="BX17" s="34">
        <v>2</v>
      </c>
      <c r="BY17" s="34">
        <v>20</v>
      </c>
      <c r="BZ17" s="34">
        <v>13</v>
      </c>
      <c r="CA17" s="34">
        <v>85</v>
      </c>
      <c r="CB17" s="35">
        <f>BW17+BX17+BY17+BZ17+CA17</f>
        <v>128</v>
      </c>
    </row>
    <row r="18" spans="10:80" ht="18" customHeight="1" x14ac:dyDescent="0.2">
      <c r="J18" s="36">
        <v>30</v>
      </c>
      <c r="K18" s="36" t="s">
        <v>492</v>
      </c>
      <c r="L18" s="36">
        <v>22</v>
      </c>
      <c r="M18" s="36">
        <v>62</v>
      </c>
      <c r="N18" s="36">
        <v>72</v>
      </c>
      <c r="O18" s="36">
        <v>87</v>
      </c>
      <c r="P18" s="36">
        <v>7</v>
      </c>
      <c r="Q18" s="35">
        <f>L18+M18+N18+O18+P18</f>
        <v>250</v>
      </c>
      <c r="S18" s="36">
        <v>82</v>
      </c>
      <c r="T18" s="36" t="s">
        <v>493</v>
      </c>
      <c r="U18" s="36">
        <v>63</v>
      </c>
      <c r="V18" s="36">
        <v>29</v>
      </c>
      <c r="W18" s="36">
        <v>28</v>
      </c>
      <c r="X18" s="36">
        <v>38</v>
      </c>
      <c r="Y18" s="36">
        <v>83</v>
      </c>
      <c r="Z18" s="35">
        <f>U18+V18+W18+X18+Y18</f>
        <v>241</v>
      </c>
      <c r="AB18" s="36">
        <v>134</v>
      </c>
      <c r="AC18" s="36" t="s">
        <v>494</v>
      </c>
      <c r="AD18" s="36">
        <v>36</v>
      </c>
      <c r="AE18" s="36">
        <v>23</v>
      </c>
      <c r="AF18" s="36">
        <v>66</v>
      </c>
      <c r="AG18" s="36">
        <v>14</v>
      </c>
      <c r="AH18" s="36">
        <v>19</v>
      </c>
      <c r="AI18" s="35">
        <f>AD18+AE18+AF18+AG18+AH18</f>
        <v>158</v>
      </c>
      <c r="AK18" s="36">
        <v>186</v>
      </c>
      <c r="AL18" s="36" t="s">
        <v>495</v>
      </c>
      <c r="AM18" s="36">
        <v>31</v>
      </c>
      <c r="AN18" s="36">
        <v>8</v>
      </c>
      <c r="AO18" s="36">
        <v>90</v>
      </c>
      <c r="AP18" s="36">
        <v>48</v>
      </c>
      <c r="AQ18" s="36">
        <v>29</v>
      </c>
      <c r="AR18" s="35">
        <f>AM18+AN18+AO18+AP18+AQ18</f>
        <v>206</v>
      </c>
      <c r="AT18" s="36">
        <v>239</v>
      </c>
      <c r="AU18" s="36" t="s">
        <v>496</v>
      </c>
      <c r="AV18" s="36">
        <v>25</v>
      </c>
      <c r="AW18" s="36">
        <v>45</v>
      </c>
      <c r="AX18" s="36">
        <v>40</v>
      </c>
      <c r="AY18" s="36">
        <v>28</v>
      </c>
      <c r="AZ18" s="36">
        <v>37</v>
      </c>
      <c r="BA18" s="35">
        <f>AV18+AW18+AX18+AY18+AZ18</f>
        <v>175</v>
      </c>
      <c r="BC18" s="36">
        <v>291</v>
      </c>
      <c r="BD18" s="36" t="s">
        <v>492</v>
      </c>
      <c r="BE18" s="36">
        <v>43</v>
      </c>
      <c r="BF18" s="36">
        <v>1</v>
      </c>
      <c r="BG18" s="36">
        <v>86</v>
      </c>
      <c r="BH18" s="36">
        <v>7</v>
      </c>
      <c r="BI18" s="36">
        <v>71</v>
      </c>
      <c r="BJ18" s="35">
        <f>BE18+BF18+BG18+BH18+BI18</f>
        <v>208</v>
      </c>
      <c r="BL18" s="36">
        <v>343</v>
      </c>
      <c r="BM18" s="36" t="s">
        <v>497</v>
      </c>
      <c r="BN18" s="36">
        <v>84</v>
      </c>
      <c r="BO18" s="36">
        <v>54</v>
      </c>
      <c r="BP18" s="36">
        <v>41</v>
      </c>
      <c r="BQ18" s="36">
        <v>61</v>
      </c>
      <c r="BR18" s="36">
        <v>37</v>
      </c>
      <c r="BS18" s="35">
        <f>BN18+BO18+BP18+BQ18+BR18</f>
        <v>277</v>
      </c>
      <c r="BU18" s="36">
        <v>395</v>
      </c>
      <c r="BV18" s="36" t="s">
        <v>493</v>
      </c>
      <c r="BW18" s="36">
        <v>70</v>
      </c>
      <c r="BX18" s="36">
        <v>88</v>
      </c>
      <c r="BY18" s="36">
        <v>72</v>
      </c>
      <c r="BZ18" s="36">
        <v>19</v>
      </c>
      <c r="CA18" s="36">
        <v>29</v>
      </c>
      <c r="CB18" s="35">
        <f>BW18+BX18+BY18+BZ18+CA18</f>
        <v>278</v>
      </c>
    </row>
    <row r="19" spans="10:80" ht="18" customHeight="1" x14ac:dyDescent="0.2">
      <c r="J19" s="34">
        <v>31</v>
      </c>
      <c r="K19" s="34" t="s">
        <v>499</v>
      </c>
      <c r="L19" s="34">
        <v>71</v>
      </c>
      <c r="M19" s="34">
        <v>5</v>
      </c>
      <c r="N19" s="34">
        <v>11</v>
      </c>
      <c r="O19" s="34">
        <v>62</v>
      </c>
      <c r="P19" s="34">
        <v>53</v>
      </c>
      <c r="Q19" s="35">
        <f>L19+M19+N19+O19+P19</f>
        <v>202</v>
      </c>
      <c r="S19" s="34">
        <v>83</v>
      </c>
      <c r="T19" s="34" t="s">
        <v>500</v>
      </c>
      <c r="U19" s="34">
        <v>62</v>
      </c>
      <c r="V19" s="34">
        <v>34</v>
      </c>
      <c r="W19" s="34">
        <v>30</v>
      </c>
      <c r="X19" s="34">
        <v>46</v>
      </c>
      <c r="Y19" s="34">
        <v>27</v>
      </c>
      <c r="Z19" s="35">
        <f>U19+V19+W19+X19+Y19</f>
        <v>199</v>
      </c>
      <c r="AB19" s="34">
        <v>135</v>
      </c>
      <c r="AC19" s="34" t="s">
        <v>501</v>
      </c>
      <c r="AD19" s="34">
        <v>8</v>
      </c>
      <c r="AE19" s="34">
        <v>3</v>
      </c>
      <c r="AF19" s="34">
        <v>27</v>
      </c>
      <c r="AG19" s="34">
        <v>12</v>
      </c>
      <c r="AH19" s="34">
        <v>9</v>
      </c>
      <c r="AI19" s="35">
        <f>AD19+AE19+AF19+AG19+AH19</f>
        <v>59</v>
      </c>
      <c r="AK19" s="34">
        <v>187</v>
      </c>
      <c r="AL19" s="34" t="s">
        <v>502</v>
      </c>
      <c r="AM19" s="34">
        <v>72</v>
      </c>
      <c r="AN19" s="34">
        <v>39</v>
      </c>
      <c r="AO19" s="34">
        <v>18</v>
      </c>
      <c r="AP19" s="34">
        <v>62</v>
      </c>
      <c r="AQ19" s="34">
        <v>87</v>
      </c>
      <c r="AR19" s="35">
        <f>AM19+AN19+AO19+AP19+AQ19</f>
        <v>278</v>
      </c>
      <c r="AT19" s="34">
        <v>240</v>
      </c>
      <c r="AU19" s="34" t="s">
        <v>503</v>
      </c>
      <c r="AV19" s="34">
        <v>17</v>
      </c>
      <c r="AW19" s="34">
        <v>21</v>
      </c>
      <c r="AX19" s="34">
        <v>11</v>
      </c>
      <c r="AY19" s="34">
        <v>20</v>
      </c>
      <c r="AZ19" s="34">
        <v>13</v>
      </c>
      <c r="BA19" s="35">
        <f>AV19+AW19+AX19+AY19+AZ19</f>
        <v>82</v>
      </c>
      <c r="BC19" s="34">
        <v>292</v>
      </c>
      <c r="BD19" s="34" t="s">
        <v>499</v>
      </c>
      <c r="BE19" s="34">
        <v>11</v>
      </c>
      <c r="BF19" s="34">
        <v>75</v>
      </c>
      <c r="BG19" s="34">
        <v>8</v>
      </c>
      <c r="BH19" s="34">
        <v>17</v>
      </c>
      <c r="BI19" s="34">
        <v>13</v>
      </c>
      <c r="BJ19" s="35">
        <f>BE19+BF19+BG19+BH19+BI19</f>
        <v>124</v>
      </c>
      <c r="BL19" s="34">
        <v>344</v>
      </c>
      <c r="BM19" s="34" t="s">
        <v>504</v>
      </c>
      <c r="BN19" s="34">
        <v>85</v>
      </c>
      <c r="BO19" s="34">
        <v>52</v>
      </c>
      <c r="BP19" s="34">
        <v>59</v>
      </c>
      <c r="BQ19" s="34">
        <v>5</v>
      </c>
      <c r="BR19" s="34">
        <v>35</v>
      </c>
      <c r="BS19" s="35">
        <f>BN19+BO19+BP19+BQ19+BR19</f>
        <v>236</v>
      </c>
      <c r="BU19" s="34">
        <v>396</v>
      </c>
      <c r="BV19" s="34" t="s">
        <v>500</v>
      </c>
      <c r="BW19" s="34">
        <v>90</v>
      </c>
      <c r="BX19" s="34">
        <v>74</v>
      </c>
      <c r="BY19" s="34">
        <v>6</v>
      </c>
      <c r="BZ19" s="34">
        <v>28</v>
      </c>
      <c r="CA19" s="34">
        <v>69</v>
      </c>
      <c r="CB19" s="35">
        <f>BW19+BX19+BY19+BZ19+CA19</f>
        <v>267</v>
      </c>
    </row>
    <row r="20" spans="10:80" ht="18" customHeight="1" x14ac:dyDescent="0.2">
      <c r="J20" s="36">
        <v>32</v>
      </c>
      <c r="K20" s="36" t="s">
        <v>506</v>
      </c>
      <c r="L20" s="36">
        <v>27</v>
      </c>
      <c r="M20" s="36">
        <v>64</v>
      </c>
      <c r="N20" s="36">
        <v>3</v>
      </c>
      <c r="O20" s="36">
        <v>62</v>
      </c>
      <c r="P20" s="36">
        <v>50</v>
      </c>
      <c r="Q20" s="35">
        <f>L20+M20+N20+O20+P20</f>
        <v>206</v>
      </c>
      <c r="S20" s="36">
        <v>84</v>
      </c>
      <c r="T20" s="36" t="s">
        <v>507</v>
      </c>
      <c r="U20" s="36">
        <v>11</v>
      </c>
      <c r="V20" s="36">
        <v>88</v>
      </c>
      <c r="W20" s="36">
        <v>21</v>
      </c>
      <c r="X20" s="36">
        <v>46</v>
      </c>
      <c r="Y20" s="36">
        <v>73</v>
      </c>
      <c r="Z20" s="35">
        <f>U20+V20+W20+X20+Y20</f>
        <v>239</v>
      </c>
      <c r="AB20" s="36">
        <v>136</v>
      </c>
      <c r="AC20" s="36" t="s">
        <v>508</v>
      </c>
      <c r="AD20" s="36">
        <v>44</v>
      </c>
      <c r="AE20" s="36">
        <v>71</v>
      </c>
      <c r="AF20" s="36">
        <v>39</v>
      </c>
      <c r="AG20" s="36">
        <v>26</v>
      </c>
      <c r="AH20" s="36">
        <v>79</v>
      </c>
      <c r="AI20" s="35">
        <f>AD20+AE20+AF20+AG20+AH20</f>
        <v>259</v>
      </c>
      <c r="AK20" s="36">
        <v>188</v>
      </c>
      <c r="AL20" s="36" t="s">
        <v>509</v>
      </c>
      <c r="AM20" s="36">
        <v>74</v>
      </c>
      <c r="AN20" s="36">
        <v>65</v>
      </c>
      <c r="AO20" s="36">
        <v>72</v>
      </c>
      <c r="AP20" s="36">
        <v>7</v>
      </c>
      <c r="AQ20" s="36">
        <v>42</v>
      </c>
      <c r="AR20" s="35">
        <f>AM20+AN20+AO20+AP20+AQ20</f>
        <v>260</v>
      </c>
      <c r="AT20" s="36">
        <v>241</v>
      </c>
      <c r="AU20" s="36" t="s">
        <v>510</v>
      </c>
      <c r="AV20" s="36">
        <v>32</v>
      </c>
      <c r="AW20" s="36">
        <v>37</v>
      </c>
      <c r="AX20" s="36">
        <v>11</v>
      </c>
      <c r="AY20" s="36">
        <v>10</v>
      </c>
      <c r="AZ20" s="36">
        <v>65</v>
      </c>
      <c r="BA20" s="35">
        <f>AV20+AW20+AX20+AY20+AZ20</f>
        <v>155</v>
      </c>
      <c r="BC20" s="36">
        <v>293</v>
      </c>
      <c r="BD20" s="36" t="s">
        <v>506</v>
      </c>
      <c r="BE20" s="36">
        <v>46</v>
      </c>
      <c r="BF20" s="36">
        <v>70</v>
      </c>
      <c r="BG20" s="36">
        <v>77</v>
      </c>
      <c r="BH20" s="36">
        <v>87</v>
      </c>
      <c r="BI20" s="36">
        <v>66</v>
      </c>
      <c r="BJ20" s="35">
        <f>BE20+BF20+BG20+BH20+BI20</f>
        <v>346</v>
      </c>
      <c r="BL20" s="36">
        <v>345</v>
      </c>
      <c r="BM20" s="36" t="s">
        <v>511</v>
      </c>
      <c r="BN20" s="36">
        <v>85</v>
      </c>
      <c r="BO20" s="36">
        <v>83</v>
      </c>
      <c r="BP20" s="36">
        <v>6</v>
      </c>
      <c r="BQ20" s="36">
        <v>24</v>
      </c>
      <c r="BR20" s="36">
        <v>33</v>
      </c>
      <c r="BS20" s="35">
        <f>BN20+BO20+BP20+BQ20+BR20</f>
        <v>231</v>
      </c>
      <c r="BU20" s="36">
        <v>397</v>
      </c>
      <c r="BV20" s="36" t="s">
        <v>507</v>
      </c>
      <c r="BW20" s="36">
        <v>26</v>
      </c>
      <c r="BX20" s="36">
        <v>16</v>
      </c>
      <c r="BY20" s="36">
        <v>55</v>
      </c>
      <c r="BZ20" s="36">
        <v>30</v>
      </c>
      <c r="CA20" s="36">
        <v>77</v>
      </c>
      <c r="CB20" s="35">
        <f>BW20+BX20+BY20+BZ20+CA20</f>
        <v>204</v>
      </c>
    </row>
    <row r="21" spans="10:80" ht="18" customHeight="1" x14ac:dyDescent="0.2">
      <c r="J21" s="34">
        <v>33</v>
      </c>
      <c r="K21" s="34" t="s">
        <v>513</v>
      </c>
      <c r="L21" s="34">
        <v>37</v>
      </c>
      <c r="M21" s="34">
        <v>71</v>
      </c>
      <c r="N21" s="34">
        <v>28</v>
      </c>
      <c r="O21" s="34">
        <v>73</v>
      </c>
      <c r="P21" s="34">
        <v>24</v>
      </c>
      <c r="Q21" s="35">
        <f>L21+M21+N21+O21+P21</f>
        <v>233</v>
      </c>
      <c r="S21" s="34">
        <v>85</v>
      </c>
      <c r="T21" s="34" t="s">
        <v>514</v>
      </c>
      <c r="U21" s="34">
        <v>32</v>
      </c>
      <c r="V21" s="34">
        <v>15</v>
      </c>
      <c r="W21" s="34">
        <v>71</v>
      </c>
      <c r="X21" s="34">
        <v>86</v>
      </c>
      <c r="Y21" s="34">
        <v>13</v>
      </c>
      <c r="Z21" s="35">
        <f>U21+V21+W21+X21+Y21</f>
        <v>217</v>
      </c>
      <c r="AB21" s="34">
        <v>137</v>
      </c>
      <c r="AC21" s="34" t="s">
        <v>515</v>
      </c>
      <c r="AD21" s="34">
        <v>60</v>
      </c>
      <c r="AE21" s="34">
        <v>37</v>
      </c>
      <c r="AF21" s="34">
        <v>48</v>
      </c>
      <c r="AG21" s="34">
        <v>66</v>
      </c>
      <c r="AH21" s="34">
        <v>44</v>
      </c>
      <c r="AI21" s="35">
        <f>AD21+AE21+AF21+AG21+AH21</f>
        <v>255</v>
      </c>
      <c r="AK21" s="34">
        <v>189</v>
      </c>
      <c r="AL21" s="34" t="s">
        <v>516</v>
      </c>
      <c r="AM21" s="34">
        <v>51</v>
      </c>
      <c r="AN21" s="34">
        <v>70</v>
      </c>
      <c r="AO21" s="34">
        <v>85</v>
      </c>
      <c r="AP21" s="34">
        <v>56</v>
      </c>
      <c r="AQ21" s="34">
        <v>46</v>
      </c>
      <c r="AR21" s="35">
        <f>AM21+AN21+AO21+AP21+AQ21</f>
        <v>308</v>
      </c>
      <c r="AT21" s="34">
        <v>242</v>
      </c>
      <c r="AU21" s="34" t="s">
        <v>517</v>
      </c>
      <c r="AV21" s="34">
        <v>82</v>
      </c>
      <c r="AW21" s="34">
        <v>61</v>
      </c>
      <c r="AX21" s="34">
        <v>58</v>
      </c>
      <c r="AY21" s="34">
        <v>62</v>
      </c>
      <c r="AZ21" s="34">
        <v>20</v>
      </c>
      <c r="BA21" s="35">
        <f>AV21+AW21+AX21+AY21+AZ21</f>
        <v>283</v>
      </c>
      <c r="BC21" s="34">
        <v>294</v>
      </c>
      <c r="BD21" s="34" t="s">
        <v>513</v>
      </c>
      <c r="BE21" s="34">
        <v>77</v>
      </c>
      <c r="BF21" s="34">
        <v>9</v>
      </c>
      <c r="BG21" s="34">
        <v>32</v>
      </c>
      <c r="BH21" s="34">
        <v>1</v>
      </c>
      <c r="BI21" s="34">
        <v>30</v>
      </c>
      <c r="BJ21" s="35">
        <f>BE21+BF21+BG21+BH21+BI21</f>
        <v>149</v>
      </c>
      <c r="BL21" s="34">
        <v>346</v>
      </c>
      <c r="BM21" s="34" t="s">
        <v>518</v>
      </c>
      <c r="BN21" s="34">
        <v>54</v>
      </c>
      <c r="BO21" s="34">
        <v>58</v>
      </c>
      <c r="BP21" s="34">
        <v>84</v>
      </c>
      <c r="BQ21" s="34">
        <v>85</v>
      </c>
      <c r="BR21" s="34">
        <v>37</v>
      </c>
      <c r="BS21" s="35">
        <f>BN21+BO21+BP21+BQ21+BR21</f>
        <v>318</v>
      </c>
      <c r="BU21" s="34">
        <v>398</v>
      </c>
      <c r="BV21" s="34" t="s">
        <v>514</v>
      </c>
      <c r="BW21" s="34">
        <v>44</v>
      </c>
      <c r="BX21" s="34">
        <v>76</v>
      </c>
      <c r="BY21" s="34">
        <v>55</v>
      </c>
      <c r="BZ21" s="34">
        <v>36</v>
      </c>
      <c r="CA21" s="34">
        <v>54</v>
      </c>
      <c r="CB21" s="35">
        <f>BW21+BX21+BY21+BZ21+CA21</f>
        <v>265</v>
      </c>
    </row>
    <row r="22" spans="10:80" ht="18" customHeight="1" x14ac:dyDescent="0.2">
      <c r="J22" s="36">
        <v>34</v>
      </c>
      <c r="K22" s="36" t="s">
        <v>520</v>
      </c>
      <c r="L22" s="36">
        <v>51</v>
      </c>
      <c r="M22" s="36">
        <v>47</v>
      </c>
      <c r="N22" s="36">
        <v>79</v>
      </c>
      <c r="O22" s="36">
        <v>1</v>
      </c>
      <c r="P22" s="36">
        <v>62</v>
      </c>
      <c r="Q22" s="35">
        <f>L22+M22+N22+O22+P22</f>
        <v>240</v>
      </c>
      <c r="S22" s="36">
        <v>86</v>
      </c>
      <c r="T22" s="36" t="s">
        <v>521</v>
      </c>
      <c r="U22" s="36">
        <v>11</v>
      </c>
      <c r="V22" s="36">
        <v>59</v>
      </c>
      <c r="W22" s="36">
        <v>69</v>
      </c>
      <c r="X22" s="36">
        <v>90</v>
      </c>
      <c r="Y22" s="36">
        <v>31</v>
      </c>
      <c r="Z22" s="35">
        <f>U22+V22+W22+X22+Y22</f>
        <v>260</v>
      </c>
      <c r="AB22" s="36">
        <v>138</v>
      </c>
      <c r="AC22" s="36" t="s">
        <v>522</v>
      </c>
      <c r="AD22" s="36">
        <v>44</v>
      </c>
      <c r="AE22" s="36">
        <v>56</v>
      </c>
      <c r="AF22" s="36">
        <v>43</v>
      </c>
      <c r="AG22" s="36">
        <v>75</v>
      </c>
      <c r="AH22" s="36">
        <v>17</v>
      </c>
      <c r="AI22" s="35">
        <f>AD22+AE22+AF22+AG22+AH22</f>
        <v>235</v>
      </c>
      <c r="AK22" s="36">
        <v>190</v>
      </c>
      <c r="AL22" s="36" t="s">
        <v>523</v>
      </c>
      <c r="AM22" s="36">
        <v>85</v>
      </c>
      <c r="AN22" s="36">
        <v>37</v>
      </c>
      <c r="AO22" s="36">
        <v>8</v>
      </c>
      <c r="AP22" s="36">
        <v>84</v>
      </c>
      <c r="AQ22" s="36">
        <v>77</v>
      </c>
      <c r="AR22" s="35">
        <f>AM22+AN22+AO22+AP22+AQ22</f>
        <v>291</v>
      </c>
      <c r="AT22" s="36">
        <v>243</v>
      </c>
      <c r="AU22" s="36" t="s">
        <v>524</v>
      </c>
      <c r="AV22" s="36">
        <v>37</v>
      </c>
      <c r="AW22" s="36">
        <v>80</v>
      </c>
      <c r="AX22" s="36">
        <v>57</v>
      </c>
      <c r="AY22" s="36">
        <v>83</v>
      </c>
      <c r="AZ22" s="36">
        <v>87</v>
      </c>
      <c r="BA22" s="35">
        <f>AV22+AW22+AX22+AY22+AZ22</f>
        <v>344</v>
      </c>
      <c r="BC22" s="36">
        <v>295</v>
      </c>
      <c r="BD22" s="36" t="s">
        <v>520</v>
      </c>
      <c r="BE22" s="36">
        <v>16</v>
      </c>
      <c r="BF22" s="36">
        <v>77</v>
      </c>
      <c r="BG22" s="36">
        <v>88</v>
      </c>
      <c r="BH22" s="36">
        <v>32</v>
      </c>
      <c r="BI22" s="36">
        <v>47</v>
      </c>
      <c r="BJ22" s="35">
        <f>BE22+BF22+BG22+BH22+BI22</f>
        <v>260</v>
      </c>
      <c r="BL22" s="36">
        <v>347</v>
      </c>
      <c r="BM22" s="36" t="s">
        <v>525</v>
      </c>
      <c r="BN22" s="36">
        <v>81</v>
      </c>
      <c r="BO22" s="36">
        <v>83</v>
      </c>
      <c r="BP22" s="36">
        <v>32</v>
      </c>
      <c r="BQ22" s="36">
        <v>39</v>
      </c>
      <c r="BR22" s="36">
        <v>26</v>
      </c>
      <c r="BS22" s="35">
        <f>BN22+BO22+BP22+BQ22+BR22</f>
        <v>261</v>
      </c>
      <c r="BU22" s="36">
        <v>399</v>
      </c>
      <c r="BV22" s="36" t="s">
        <v>521</v>
      </c>
      <c r="BW22" s="36">
        <v>71</v>
      </c>
      <c r="BX22" s="36">
        <v>88</v>
      </c>
      <c r="BY22" s="36">
        <v>80</v>
      </c>
      <c r="BZ22" s="36">
        <v>76</v>
      </c>
      <c r="CA22" s="36">
        <v>30</v>
      </c>
      <c r="CB22" s="35">
        <f>BW22+BX22+BY22+BZ22+CA22</f>
        <v>345</v>
      </c>
    </row>
    <row r="23" spans="10:80" ht="18" customHeight="1" x14ac:dyDescent="0.2">
      <c r="J23" s="34">
        <v>35</v>
      </c>
      <c r="K23" s="34" t="s">
        <v>527</v>
      </c>
      <c r="L23" s="34">
        <v>28</v>
      </c>
      <c r="M23" s="34">
        <v>24</v>
      </c>
      <c r="N23" s="34">
        <v>27</v>
      </c>
      <c r="O23" s="34">
        <v>22</v>
      </c>
      <c r="P23" s="34">
        <v>44</v>
      </c>
      <c r="Q23" s="35">
        <f>L23+M23+N23+O23+P23</f>
        <v>145</v>
      </c>
      <c r="S23" s="34">
        <v>87</v>
      </c>
      <c r="T23" s="34" t="s">
        <v>528</v>
      </c>
      <c r="U23" s="34">
        <v>74</v>
      </c>
      <c r="V23" s="34">
        <v>90</v>
      </c>
      <c r="W23" s="34">
        <v>83</v>
      </c>
      <c r="X23" s="34">
        <v>68</v>
      </c>
      <c r="Y23" s="34">
        <v>53</v>
      </c>
      <c r="Z23" s="35">
        <f>U23+V23+W23+X23+Y23</f>
        <v>368</v>
      </c>
      <c r="AB23" s="34">
        <v>139</v>
      </c>
      <c r="AC23" s="34" t="s">
        <v>529</v>
      </c>
      <c r="AD23" s="34">
        <v>74</v>
      </c>
      <c r="AE23" s="34">
        <v>42</v>
      </c>
      <c r="AF23" s="34">
        <v>19</v>
      </c>
      <c r="AG23" s="34">
        <v>81</v>
      </c>
      <c r="AH23" s="34">
        <v>60</v>
      </c>
      <c r="AI23" s="35">
        <f>AD23+AE23+AF23+AG23+AH23</f>
        <v>276</v>
      </c>
      <c r="AK23" s="34">
        <v>191</v>
      </c>
      <c r="AL23" s="34" t="s">
        <v>530</v>
      </c>
      <c r="AM23" s="34">
        <v>61</v>
      </c>
      <c r="AN23" s="34">
        <v>29</v>
      </c>
      <c r="AO23" s="34">
        <v>25</v>
      </c>
      <c r="AP23" s="34">
        <v>21</v>
      </c>
      <c r="AQ23" s="34">
        <v>62</v>
      </c>
      <c r="AR23" s="35">
        <f>AM23+AN23+AO23+AP23+AQ23</f>
        <v>198</v>
      </c>
      <c r="AT23" s="34">
        <v>244</v>
      </c>
      <c r="AU23" s="34" t="s">
        <v>531</v>
      </c>
      <c r="AV23" s="34">
        <v>46</v>
      </c>
      <c r="AW23" s="34">
        <v>8</v>
      </c>
      <c r="AX23" s="34">
        <v>25</v>
      </c>
      <c r="AY23" s="34">
        <v>20</v>
      </c>
      <c r="AZ23" s="34">
        <v>31</v>
      </c>
      <c r="BA23" s="35">
        <f>AV23+AW23+AX23+AY23+AZ23</f>
        <v>130</v>
      </c>
      <c r="BC23" s="34">
        <v>296</v>
      </c>
      <c r="BD23" s="34" t="s">
        <v>527</v>
      </c>
      <c r="BE23" s="34">
        <v>15</v>
      </c>
      <c r="BF23" s="34">
        <v>83</v>
      </c>
      <c r="BG23" s="34">
        <v>17</v>
      </c>
      <c r="BH23" s="34">
        <v>35</v>
      </c>
      <c r="BI23" s="34">
        <v>43</v>
      </c>
      <c r="BJ23" s="35">
        <f>BE23+BF23+BG23+BH23+BI23</f>
        <v>193</v>
      </c>
      <c r="BL23" s="34">
        <v>348</v>
      </c>
      <c r="BM23" s="34" t="s">
        <v>532</v>
      </c>
      <c r="BN23" s="34">
        <v>33</v>
      </c>
      <c r="BO23" s="34">
        <v>1</v>
      </c>
      <c r="BP23" s="34">
        <v>43</v>
      </c>
      <c r="BQ23" s="34">
        <v>36</v>
      </c>
      <c r="BR23" s="34">
        <v>22</v>
      </c>
      <c r="BS23" s="35">
        <f>BN23+BO23+BP23+BQ23+BR23</f>
        <v>135</v>
      </c>
      <c r="BU23" s="34">
        <v>400</v>
      </c>
      <c r="BV23" s="34" t="s">
        <v>528</v>
      </c>
      <c r="BW23" s="34">
        <v>42</v>
      </c>
      <c r="BX23" s="34">
        <v>52</v>
      </c>
      <c r="BY23" s="34">
        <v>70</v>
      </c>
      <c r="BZ23" s="34">
        <v>68</v>
      </c>
      <c r="CA23" s="34">
        <v>81</v>
      </c>
      <c r="CB23" s="35">
        <f>BW23+BX23+BY23+BZ23+CA23</f>
        <v>313</v>
      </c>
    </row>
    <row r="24" spans="10:80" ht="18" customHeight="1" x14ac:dyDescent="0.2">
      <c r="J24" s="36">
        <v>36</v>
      </c>
      <c r="K24" s="36" t="s">
        <v>534</v>
      </c>
      <c r="L24" s="36">
        <v>6</v>
      </c>
      <c r="M24" s="36">
        <v>2</v>
      </c>
      <c r="N24" s="36">
        <v>62</v>
      </c>
      <c r="O24" s="36">
        <v>33</v>
      </c>
      <c r="P24" s="36">
        <v>1</v>
      </c>
      <c r="Q24" s="35">
        <f>L24+M24+N24+O24+P24</f>
        <v>104</v>
      </c>
      <c r="S24" s="36">
        <v>88</v>
      </c>
      <c r="T24" s="36" t="s">
        <v>535</v>
      </c>
      <c r="U24" s="36">
        <v>7</v>
      </c>
      <c r="V24" s="36">
        <v>76</v>
      </c>
      <c r="W24" s="36">
        <v>31</v>
      </c>
      <c r="X24" s="36">
        <v>34</v>
      </c>
      <c r="Y24" s="36">
        <v>3</v>
      </c>
      <c r="Z24" s="35">
        <f>U24+V24+W24+X24+Y24</f>
        <v>151</v>
      </c>
      <c r="AB24" s="36">
        <v>140</v>
      </c>
      <c r="AC24" s="36" t="s">
        <v>536</v>
      </c>
      <c r="AD24" s="36">
        <v>43</v>
      </c>
      <c r="AE24" s="36">
        <v>62</v>
      </c>
      <c r="AF24" s="36">
        <v>56</v>
      </c>
      <c r="AG24" s="36">
        <v>54</v>
      </c>
      <c r="AH24" s="36">
        <v>5</v>
      </c>
      <c r="AI24" s="35">
        <f>AD24+AE24+AF24+AG24+AH24</f>
        <v>220</v>
      </c>
      <c r="AK24" s="36">
        <v>192</v>
      </c>
      <c r="AL24" s="36" t="s">
        <v>537</v>
      </c>
      <c r="AM24" s="36">
        <v>73</v>
      </c>
      <c r="AN24" s="36">
        <v>40</v>
      </c>
      <c r="AO24" s="36">
        <v>30</v>
      </c>
      <c r="AP24" s="36">
        <v>82</v>
      </c>
      <c r="AQ24" s="36">
        <v>36</v>
      </c>
      <c r="AR24" s="35">
        <f>AM24+AN24+AO24+AP24+AQ24</f>
        <v>261</v>
      </c>
      <c r="AT24" s="36">
        <v>245</v>
      </c>
      <c r="AU24" s="36" t="s">
        <v>538</v>
      </c>
      <c r="AV24" s="36">
        <v>24</v>
      </c>
      <c r="AW24" s="36">
        <v>64</v>
      </c>
      <c r="AX24" s="36">
        <v>35</v>
      </c>
      <c r="AY24" s="36">
        <v>1</v>
      </c>
      <c r="AZ24" s="36">
        <v>59</v>
      </c>
      <c r="BA24" s="35">
        <f>AV24+AW24+AX24+AY24+AZ24</f>
        <v>183</v>
      </c>
      <c r="BC24" s="36">
        <v>297</v>
      </c>
      <c r="BD24" s="36" t="s">
        <v>534</v>
      </c>
      <c r="BE24" s="36">
        <v>38</v>
      </c>
      <c r="BF24" s="36">
        <v>69</v>
      </c>
      <c r="BG24" s="36">
        <v>65</v>
      </c>
      <c r="BH24" s="36">
        <v>60</v>
      </c>
      <c r="BI24" s="36">
        <v>52</v>
      </c>
      <c r="BJ24" s="35">
        <f>BE24+BF24+BG24+BH24+BI24</f>
        <v>284</v>
      </c>
      <c r="BL24" s="36">
        <v>349</v>
      </c>
      <c r="BM24" s="36" t="s">
        <v>539</v>
      </c>
      <c r="BN24" s="36">
        <v>50</v>
      </c>
      <c r="BO24" s="36">
        <v>70</v>
      </c>
      <c r="BP24" s="36">
        <v>68</v>
      </c>
      <c r="BQ24" s="36">
        <v>53</v>
      </c>
      <c r="BR24" s="36">
        <v>72</v>
      </c>
      <c r="BS24" s="35">
        <f>BN24+BO24+BP24+BQ24+BR24</f>
        <v>313</v>
      </c>
      <c r="BU24" s="36">
        <v>401</v>
      </c>
      <c r="BV24" s="36" t="s">
        <v>535</v>
      </c>
      <c r="BW24" s="36">
        <v>27</v>
      </c>
      <c r="BX24" s="36">
        <v>20</v>
      </c>
      <c r="BY24" s="36">
        <v>53</v>
      </c>
      <c r="BZ24" s="36">
        <v>76</v>
      </c>
      <c r="CA24" s="36">
        <v>85</v>
      </c>
      <c r="CB24" s="35">
        <f>BW24+BX24+BY24+BZ24+CA24</f>
        <v>261</v>
      </c>
    </row>
    <row r="25" spans="10:80" ht="18" customHeight="1" x14ac:dyDescent="0.2">
      <c r="J25" s="34">
        <v>37</v>
      </c>
      <c r="K25" s="34" t="s">
        <v>541</v>
      </c>
      <c r="L25" s="34">
        <v>77</v>
      </c>
      <c r="M25" s="34">
        <v>17</v>
      </c>
      <c r="N25" s="34">
        <v>55</v>
      </c>
      <c r="O25" s="34">
        <v>38</v>
      </c>
      <c r="P25" s="34">
        <v>85</v>
      </c>
      <c r="Q25" s="35">
        <f>L25+M25+N25+O25+P25</f>
        <v>272</v>
      </c>
      <c r="S25" s="34">
        <v>89</v>
      </c>
      <c r="T25" s="34" t="s">
        <v>542</v>
      </c>
      <c r="U25" s="34">
        <v>43</v>
      </c>
      <c r="V25" s="34">
        <v>85</v>
      </c>
      <c r="W25" s="34">
        <v>31</v>
      </c>
      <c r="X25" s="34">
        <v>36</v>
      </c>
      <c r="Y25" s="34">
        <v>69</v>
      </c>
      <c r="Z25" s="35">
        <f>U25+V25+W25+X25+Y25</f>
        <v>264</v>
      </c>
      <c r="AB25" s="34">
        <v>141</v>
      </c>
      <c r="AC25" s="34" t="s">
        <v>543</v>
      </c>
      <c r="AD25" s="34">
        <v>47</v>
      </c>
      <c r="AE25" s="34">
        <v>67</v>
      </c>
      <c r="AF25" s="34">
        <v>33</v>
      </c>
      <c r="AG25" s="34">
        <v>36</v>
      </c>
      <c r="AH25" s="34">
        <v>17</v>
      </c>
      <c r="AI25" s="35">
        <f>AD25+AE25+AF25+AG25+AH25</f>
        <v>200</v>
      </c>
      <c r="AK25" s="34">
        <v>193</v>
      </c>
      <c r="AL25" s="34" t="s">
        <v>544</v>
      </c>
      <c r="AM25" s="34">
        <v>85</v>
      </c>
      <c r="AN25" s="34">
        <v>67</v>
      </c>
      <c r="AO25" s="34">
        <v>89</v>
      </c>
      <c r="AP25" s="34">
        <v>83</v>
      </c>
      <c r="AQ25" s="34">
        <v>76</v>
      </c>
      <c r="AR25" s="35">
        <f>AM25+AN25+AO25+AP25+AQ25</f>
        <v>400</v>
      </c>
      <c r="AT25" s="34">
        <v>246</v>
      </c>
      <c r="AU25" s="34" t="s">
        <v>545</v>
      </c>
      <c r="AV25" s="34">
        <v>21</v>
      </c>
      <c r="AW25" s="34">
        <v>52</v>
      </c>
      <c r="AX25" s="34">
        <v>18</v>
      </c>
      <c r="AY25" s="34">
        <v>87</v>
      </c>
      <c r="AZ25" s="34">
        <v>58</v>
      </c>
      <c r="BA25" s="35">
        <f>AV25+AW25+AX25+AY25+AZ25</f>
        <v>236</v>
      </c>
      <c r="BC25" s="34">
        <v>298</v>
      </c>
      <c r="BD25" s="34" t="s">
        <v>541</v>
      </c>
      <c r="BE25" s="34">
        <v>4</v>
      </c>
      <c r="BF25" s="34">
        <v>74</v>
      </c>
      <c r="BG25" s="34">
        <v>18</v>
      </c>
      <c r="BH25" s="34">
        <v>55</v>
      </c>
      <c r="BI25" s="34">
        <v>76</v>
      </c>
      <c r="BJ25" s="35">
        <f>BE25+BF25+BG25+BH25+BI25</f>
        <v>227</v>
      </c>
      <c r="BL25" s="34">
        <v>350</v>
      </c>
      <c r="BM25" s="34" t="s">
        <v>546</v>
      </c>
      <c r="BN25" s="34">
        <v>66</v>
      </c>
      <c r="BO25" s="34">
        <v>64</v>
      </c>
      <c r="BP25" s="34">
        <v>15</v>
      </c>
      <c r="BQ25" s="34">
        <v>81</v>
      </c>
      <c r="BR25" s="34">
        <v>24</v>
      </c>
      <c r="BS25" s="35">
        <f>BN25+BO25+BP25+BQ25+BR25</f>
        <v>250</v>
      </c>
      <c r="BU25" s="34">
        <v>402</v>
      </c>
      <c r="BV25" s="34" t="s">
        <v>542</v>
      </c>
      <c r="BW25" s="34">
        <v>31</v>
      </c>
      <c r="BX25" s="34">
        <v>89</v>
      </c>
      <c r="BY25" s="34">
        <v>1</v>
      </c>
      <c r="BZ25" s="34">
        <v>25</v>
      </c>
      <c r="CA25" s="34">
        <v>51</v>
      </c>
      <c r="CB25" s="35">
        <f>BW25+BX25+BY25+BZ25+CA25</f>
        <v>197</v>
      </c>
    </row>
    <row r="26" spans="10:80" ht="18" customHeight="1" x14ac:dyDescent="0.2">
      <c r="J26" s="36">
        <v>38</v>
      </c>
      <c r="K26" s="36" t="s">
        <v>548</v>
      </c>
      <c r="L26" s="36">
        <v>54</v>
      </c>
      <c r="M26" s="36">
        <v>48</v>
      </c>
      <c r="N26" s="36">
        <v>2</v>
      </c>
      <c r="O26" s="36">
        <v>35</v>
      </c>
      <c r="P26" s="36">
        <v>18</v>
      </c>
      <c r="Q26" s="35">
        <f>L26+M26+N26+O26+P26</f>
        <v>157</v>
      </c>
      <c r="S26" s="36">
        <v>90</v>
      </c>
      <c r="T26" s="36" t="s">
        <v>549</v>
      </c>
      <c r="U26" s="36">
        <v>77</v>
      </c>
      <c r="V26" s="36">
        <v>38</v>
      </c>
      <c r="W26" s="36">
        <v>23</v>
      </c>
      <c r="X26" s="36">
        <v>32</v>
      </c>
      <c r="Y26" s="36">
        <v>35</v>
      </c>
      <c r="Z26" s="35">
        <f>U26+V26+W26+X26+Y26</f>
        <v>205</v>
      </c>
      <c r="AB26" s="36">
        <v>142</v>
      </c>
      <c r="AC26" s="36" t="s">
        <v>550</v>
      </c>
      <c r="AD26" s="36">
        <v>3</v>
      </c>
      <c r="AE26" s="36">
        <v>13</v>
      </c>
      <c r="AF26" s="36">
        <v>11</v>
      </c>
      <c r="AG26" s="36">
        <v>52</v>
      </c>
      <c r="AH26" s="36">
        <v>70</v>
      </c>
      <c r="AI26" s="35">
        <f>AD26+AE26+AF26+AG26+AH26</f>
        <v>149</v>
      </c>
      <c r="AK26" s="36">
        <v>194</v>
      </c>
      <c r="AL26" s="36" t="s">
        <v>551</v>
      </c>
      <c r="AM26" s="36">
        <v>61</v>
      </c>
      <c r="AN26" s="36">
        <v>9</v>
      </c>
      <c r="AO26" s="36">
        <v>28</v>
      </c>
      <c r="AP26" s="36">
        <v>54</v>
      </c>
      <c r="AQ26" s="36">
        <v>52</v>
      </c>
      <c r="AR26" s="35">
        <f>AM26+AN26+AO26+AP26+AQ26</f>
        <v>204</v>
      </c>
      <c r="AT26" s="36">
        <v>247</v>
      </c>
      <c r="AU26" s="36" t="s">
        <v>552</v>
      </c>
      <c r="AV26" s="36">
        <v>7</v>
      </c>
      <c r="AW26" s="36">
        <v>81</v>
      </c>
      <c r="AX26" s="36">
        <v>84</v>
      </c>
      <c r="AY26" s="36">
        <v>80</v>
      </c>
      <c r="AZ26" s="36">
        <v>54</v>
      </c>
      <c r="BA26" s="35">
        <f>AV26+AW26+AX26+AY26+AZ26</f>
        <v>306</v>
      </c>
      <c r="BC26" s="36">
        <v>299</v>
      </c>
      <c r="BD26" s="36" t="s">
        <v>548</v>
      </c>
      <c r="BE26" s="36">
        <v>37</v>
      </c>
      <c r="BF26" s="36">
        <v>16</v>
      </c>
      <c r="BG26" s="36">
        <v>24</v>
      </c>
      <c r="BH26" s="36">
        <v>48</v>
      </c>
      <c r="BI26" s="36">
        <v>52</v>
      </c>
      <c r="BJ26" s="35">
        <f>BE26+BF26+BG26+BH26+BI26</f>
        <v>177</v>
      </c>
      <c r="BL26" s="36">
        <v>351</v>
      </c>
      <c r="BM26" s="36" t="s">
        <v>553</v>
      </c>
      <c r="BN26" s="36">
        <v>64</v>
      </c>
      <c r="BO26" s="36">
        <v>69</v>
      </c>
      <c r="BP26" s="36">
        <v>38</v>
      </c>
      <c r="BQ26" s="36">
        <v>14</v>
      </c>
      <c r="BR26" s="36">
        <v>28</v>
      </c>
      <c r="BS26" s="35">
        <f>BN26+BO26+BP26+BQ26+BR26</f>
        <v>213</v>
      </c>
      <c r="BU26" s="36">
        <v>403</v>
      </c>
      <c r="BV26" s="36" t="s">
        <v>549</v>
      </c>
      <c r="BW26" s="36">
        <v>58</v>
      </c>
      <c r="BX26" s="36">
        <v>61</v>
      </c>
      <c r="BY26" s="36">
        <v>10</v>
      </c>
      <c r="BZ26" s="36">
        <v>22</v>
      </c>
      <c r="CA26" s="36">
        <v>5</v>
      </c>
      <c r="CB26" s="35">
        <f>BW26+BX26+BY26+BZ26+CA26</f>
        <v>156</v>
      </c>
    </row>
    <row r="27" spans="10:80" ht="18" customHeight="1" x14ac:dyDescent="0.2">
      <c r="J27" s="34">
        <v>39</v>
      </c>
      <c r="K27" s="34" t="s">
        <v>555</v>
      </c>
      <c r="L27" s="34">
        <v>89</v>
      </c>
      <c r="M27" s="34">
        <v>23</v>
      </c>
      <c r="N27" s="34">
        <v>1</v>
      </c>
      <c r="O27" s="34">
        <v>20</v>
      </c>
      <c r="P27" s="34">
        <v>3</v>
      </c>
      <c r="Q27" s="35">
        <f>L27+M27+N27+O27+P27</f>
        <v>136</v>
      </c>
      <c r="S27" s="34">
        <v>91</v>
      </c>
      <c r="T27" s="34" t="s">
        <v>556</v>
      </c>
      <c r="U27" s="34">
        <v>39</v>
      </c>
      <c r="V27" s="34">
        <v>42</v>
      </c>
      <c r="W27" s="34">
        <v>20</v>
      </c>
      <c r="X27" s="34">
        <v>88</v>
      </c>
      <c r="Y27" s="34">
        <v>12</v>
      </c>
      <c r="Z27" s="35">
        <f>U27+V27+W27+X27+Y27</f>
        <v>201</v>
      </c>
      <c r="AB27" s="34">
        <v>143</v>
      </c>
      <c r="AC27" s="34" t="s">
        <v>557</v>
      </c>
      <c r="AD27" s="34">
        <v>18</v>
      </c>
      <c r="AE27" s="34">
        <v>65</v>
      </c>
      <c r="AF27" s="34">
        <v>30</v>
      </c>
      <c r="AG27" s="34">
        <v>79</v>
      </c>
      <c r="AH27" s="34">
        <v>45</v>
      </c>
      <c r="AI27" s="35">
        <f>AD27+AE27+AF27+AG27+AH27</f>
        <v>237</v>
      </c>
      <c r="AK27" s="34">
        <v>195</v>
      </c>
      <c r="AL27" s="34" t="s">
        <v>558</v>
      </c>
      <c r="AM27" s="34">
        <v>3</v>
      </c>
      <c r="AN27" s="34">
        <v>62</v>
      </c>
      <c r="AO27" s="34">
        <v>24</v>
      </c>
      <c r="AP27" s="34">
        <v>69</v>
      </c>
      <c r="AQ27" s="34">
        <v>64</v>
      </c>
      <c r="AR27" s="35">
        <f>AM27+AN27+AO27+AP27+AQ27</f>
        <v>222</v>
      </c>
      <c r="AT27" s="34">
        <v>248</v>
      </c>
      <c r="AU27" s="34" t="s">
        <v>559</v>
      </c>
      <c r="AV27" s="34">
        <v>42</v>
      </c>
      <c r="AW27" s="34">
        <v>58</v>
      </c>
      <c r="AX27" s="34">
        <v>40</v>
      </c>
      <c r="AY27" s="34">
        <v>7</v>
      </c>
      <c r="AZ27" s="34">
        <v>23</v>
      </c>
      <c r="BA27" s="35">
        <f>AV27+AW27+AX27+AY27+AZ27</f>
        <v>170</v>
      </c>
      <c r="BC27" s="34">
        <v>300</v>
      </c>
      <c r="BD27" s="34" t="s">
        <v>555</v>
      </c>
      <c r="BE27" s="34">
        <v>38</v>
      </c>
      <c r="BF27" s="34">
        <v>1</v>
      </c>
      <c r="BG27" s="34">
        <v>50</v>
      </c>
      <c r="BH27" s="34">
        <v>36</v>
      </c>
      <c r="BI27" s="34">
        <v>11</v>
      </c>
      <c r="BJ27" s="35">
        <f>BE27+BF27+BG27+BH27+BI27</f>
        <v>136</v>
      </c>
      <c r="BL27" s="34">
        <v>352</v>
      </c>
      <c r="BM27" s="34" t="s">
        <v>560</v>
      </c>
      <c r="BN27" s="34">
        <v>17</v>
      </c>
      <c r="BO27" s="34">
        <v>67</v>
      </c>
      <c r="BP27" s="34">
        <v>89</v>
      </c>
      <c r="BQ27" s="34">
        <v>77</v>
      </c>
      <c r="BR27" s="34">
        <v>1</v>
      </c>
      <c r="BS27" s="35">
        <f>BN27+BO27+BP27+BQ27+BR27</f>
        <v>251</v>
      </c>
      <c r="BU27" s="34">
        <v>404</v>
      </c>
      <c r="BV27" s="34" t="s">
        <v>556</v>
      </c>
      <c r="BW27" s="34">
        <v>66</v>
      </c>
      <c r="BX27" s="34">
        <v>65</v>
      </c>
      <c r="BY27" s="34">
        <v>55</v>
      </c>
      <c r="BZ27" s="34">
        <v>87</v>
      </c>
      <c r="CA27" s="34">
        <v>61</v>
      </c>
      <c r="CB27" s="35">
        <f>BW27+BX27+BY27+BZ27+CA27</f>
        <v>334</v>
      </c>
    </row>
    <row r="28" spans="10:80" ht="18" customHeight="1" x14ac:dyDescent="0.2">
      <c r="J28" s="36">
        <v>40</v>
      </c>
      <c r="K28" s="36" t="s">
        <v>562</v>
      </c>
      <c r="L28" s="36">
        <v>63</v>
      </c>
      <c r="M28" s="36">
        <v>51</v>
      </c>
      <c r="N28" s="36">
        <v>11</v>
      </c>
      <c r="O28" s="36">
        <v>18</v>
      </c>
      <c r="P28" s="36">
        <v>54</v>
      </c>
      <c r="Q28" s="35">
        <f>L28+M28+N28+O28+P28</f>
        <v>197</v>
      </c>
      <c r="S28" s="36">
        <v>92</v>
      </c>
      <c r="T28" s="36" t="s">
        <v>563</v>
      </c>
      <c r="U28" s="36">
        <v>83</v>
      </c>
      <c r="V28" s="36">
        <v>25</v>
      </c>
      <c r="W28" s="36">
        <v>34</v>
      </c>
      <c r="X28" s="36">
        <v>85</v>
      </c>
      <c r="Y28" s="36">
        <v>27</v>
      </c>
      <c r="Z28" s="35">
        <f>U28+V28+W28+X28+Y28</f>
        <v>254</v>
      </c>
      <c r="AB28" s="36">
        <v>144</v>
      </c>
      <c r="AC28" s="36" t="s">
        <v>564</v>
      </c>
      <c r="AD28" s="36">
        <v>16</v>
      </c>
      <c r="AE28" s="36">
        <v>33</v>
      </c>
      <c r="AF28" s="36">
        <v>67</v>
      </c>
      <c r="AG28" s="36">
        <v>49</v>
      </c>
      <c r="AH28" s="36">
        <v>19</v>
      </c>
      <c r="AI28" s="35">
        <f>AD28+AE28+AF28+AG28+AH28</f>
        <v>184</v>
      </c>
      <c r="AK28" s="36">
        <v>196</v>
      </c>
      <c r="AL28" s="36" t="s">
        <v>565</v>
      </c>
      <c r="AM28" s="36">
        <v>86</v>
      </c>
      <c r="AN28" s="36">
        <v>50</v>
      </c>
      <c r="AO28" s="36">
        <v>88</v>
      </c>
      <c r="AP28" s="36">
        <v>32</v>
      </c>
      <c r="AQ28" s="36">
        <v>54</v>
      </c>
      <c r="AR28" s="35">
        <f>AM28+AN28+AO28+AP28+AQ28</f>
        <v>310</v>
      </c>
      <c r="AT28" s="36">
        <v>249</v>
      </c>
      <c r="AU28" s="36" t="s">
        <v>566</v>
      </c>
      <c r="AV28" s="36">
        <v>75</v>
      </c>
      <c r="AW28" s="36">
        <v>42</v>
      </c>
      <c r="AX28" s="36">
        <v>80</v>
      </c>
      <c r="AY28" s="36">
        <v>65</v>
      </c>
      <c r="AZ28" s="36">
        <v>43</v>
      </c>
      <c r="BA28" s="35">
        <f>AV28+AW28+AX28+AY28+AZ28</f>
        <v>305</v>
      </c>
      <c r="BC28" s="36">
        <v>301</v>
      </c>
      <c r="BD28" s="36" t="s">
        <v>562</v>
      </c>
      <c r="BE28" s="36">
        <v>82</v>
      </c>
      <c r="BF28" s="36">
        <v>22</v>
      </c>
      <c r="BG28" s="36">
        <v>34</v>
      </c>
      <c r="BH28" s="36">
        <v>27</v>
      </c>
      <c r="BI28" s="36">
        <v>24</v>
      </c>
      <c r="BJ28" s="35">
        <f>BE28+BF28+BG28+BH28+BI28</f>
        <v>189</v>
      </c>
      <c r="BL28" s="36">
        <v>353</v>
      </c>
      <c r="BM28" s="36" t="s">
        <v>567</v>
      </c>
      <c r="BN28" s="36">
        <v>32</v>
      </c>
      <c r="BO28" s="36">
        <v>27</v>
      </c>
      <c r="BP28" s="36">
        <v>79</v>
      </c>
      <c r="BQ28" s="36">
        <v>89</v>
      </c>
      <c r="BR28" s="36">
        <v>7</v>
      </c>
      <c r="BS28" s="35">
        <f>BN28+BO28+BP28+BQ28+BR28</f>
        <v>234</v>
      </c>
      <c r="BU28" s="36">
        <v>405</v>
      </c>
      <c r="BV28" s="36" t="s">
        <v>563</v>
      </c>
      <c r="BW28" s="36">
        <v>89</v>
      </c>
      <c r="BX28" s="36">
        <v>6</v>
      </c>
      <c r="BY28" s="36">
        <v>60</v>
      </c>
      <c r="BZ28" s="36">
        <v>17</v>
      </c>
      <c r="CA28" s="36">
        <v>52</v>
      </c>
      <c r="CB28" s="35">
        <f>BW28+BX28+BY28+BZ28+CA28</f>
        <v>224</v>
      </c>
    </row>
    <row r="29" spans="10:80" ht="18" customHeight="1" x14ac:dyDescent="0.2">
      <c r="J29" s="34">
        <v>41</v>
      </c>
      <c r="K29" s="34" t="s">
        <v>569</v>
      </c>
      <c r="L29" s="34">
        <v>15</v>
      </c>
      <c r="M29" s="34">
        <v>78</v>
      </c>
      <c r="N29" s="34">
        <v>87</v>
      </c>
      <c r="O29" s="34">
        <v>10</v>
      </c>
      <c r="P29" s="34">
        <v>69</v>
      </c>
      <c r="Q29" s="35">
        <f>L29+M29+N29+O29+P29</f>
        <v>259</v>
      </c>
      <c r="S29" s="34">
        <v>93</v>
      </c>
      <c r="T29" s="34" t="s">
        <v>570</v>
      </c>
      <c r="U29" s="34">
        <v>40</v>
      </c>
      <c r="V29" s="34">
        <v>74</v>
      </c>
      <c r="W29" s="34">
        <v>67</v>
      </c>
      <c r="X29" s="34">
        <v>41</v>
      </c>
      <c r="Y29" s="34">
        <v>66</v>
      </c>
      <c r="Z29" s="35">
        <f>U29+V29+W29+X29+Y29</f>
        <v>288</v>
      </c>
      <c r="AB29" s="34">
        <v>145</v>
      </c>
      <c r="AC29" s="34" t="s">
        <v>571</v>
      </c>
      <c r="AD29" s="34">
        <v>23</v>
      </c>
      <c r="AE29" s="34">
        <v>1</v>
      </c>
      <c r="AF29" s="34">
        <v>30</v>
      </c>
      <c r="AG29" s="34">
        <v>24</v>
      </c>
      <c r="AH29" s="34">
        <v>56</v>
      </c>
      <c r="AI29" s="35">
        <f>AD29+AE29+AF29+AG29+AH29</f>
        <v>134</v>
      </c>
      <c r="AK29" s="34">
        <v>197</v>
      </c>
      <c r="AL29" s="34" t="s">
        <v>572</v>
      </c>
      <c r="AM29" s="34">
        <v>78</v>
      </c>
      <c r="AN29" s="34">
        <v>7</v>
      </c>
      <c r="AO29" s="34">
        <v>83</v>
      </c>
      <c r="AP29" s="34">
        <v>64</v>
      </c>
      <c r="AQ29" s="34">
        <v>41</v>
      </c>
      <c r="AR29" s="35">
        <f>AM29+AN29+AO29+AP29+AQ29</f>
        <v>273</v>
      </c>
      <c r="AT29" s="34">
        <v>250</v>
      </c>
      <c r="AU29" s="34" t="s">
        <v>573</v>
      </c>
      <c r="AV29" s="34">
        <v>19</v>
      </c>
      <c r="AW29" s="34">
        <v>51</v>
      </c>
      <c r="AX29" s="34">
        <v>53</v>
      </c>
      <c r="AY29" s="34">
        <v>2</v>
      </c>
      <c r="AZ29" s="34">
        <v>27</v>
      </c>
      <c r="BA29" s="35">
        <f>AV29+AW29+AX29+AY29+AZ29</f>
        <v>152</v>
      </c>
      <c r="BC29" s="34">
        <v>302</v>
      </c>
      <c r="BD29" s="34" t="s">
        <v>569</v>
      </c>
      <c r="BE29" s="34">
        <v>75</v>
      </c>
      <c r="BF29" s="34">
        <v>29</v>
      </c>
      <c r="BG29" s="34">
        <v>73</v>
      </c>
      <c r="BH29" s="34">
        <v>63</v>
      </c>
      <c r="BI29" s="34">
        <v>23</v>
      </c>
      <c r="BJ29" s="35">
        <f>BE29+BF29+BG29+BH29+BI29</f>
        <v>263</v>
      </c>
      <c r="BL29" s="34">
        <v>354</v>
      </c>
      <c r="BM29" s="34" t="s">
        <v>574</v>
      </c>
      <c r="BN29" s="34">
        <v>43</v>
      </c>
      <c r="BO29" s="34">
        <v>68</v>
      </c>
      <c r="BP29" s="34">
        <v>13</v>
      </c>
      <c r="BQ29" s="34">
        <v>75</v>
      </c>
      <c r="BR29" s="34">
        <v>26</v>
      </c>
      <c r="BS29" s="35">
        <f>BN29+BO29+BP29+BQ29+BR29</f>
        <v>225</v>
      </c>
      <c r="BU29" s="34">
        <v>406</v>
      </c>
      <c r="BV29" s="34" t="s">
        <v>570</v>
      </c>
      <c r="BW29" s="34">
        <v>17</v>
      </c>
      <c r="BX29" s="34">
        <v>67</v>
      </c>
      <c r="BY29" s="34">
        <v>28</v>
      </c>
      <c r="BZ29" s="34">
        <v>25</v>
      </c>
      <c r="CA29" s="34">
        <v>81</v>
      </c>
      <c r="CB29" s="35">
        <f>BW29+BX29+BY29+BZ29+CA29</f>
        <v>218</v>
      </c>
    </row>
    <row r="30" spans="10:80" ht="18" customHeight="1" x14ac:dyDescent="0.2">
      <c r="J30" s="36">
        <v>42</v>
      </c>
      <c r="K30" s="36" t="s">
        <v>576</v>
      </c>
      <c r="L30" s="36">
        <v>30</v>
      </c>
      <c r="M30" s="36">
        <v>48</v>
      </c>
      <c r="N30" s="36">
        <v>33</v>
      </c>
      <c r="O30" s="36">
        <v>10</v>
      </c>
      <c r="P30" s="36">
        <v>19</v>
      </c>
      <c r="Q30" s="35">
        <f>L30+M30+N30+O30+P30</f>
        <v>140</v>
      </c>
      <c r="S30" s="36">
        <v>94</v>
      </c>
      <c r="T30" s="36" t="s">
        <v>577</v>
      </c>
      <c r="U30" s="36">
        <v>72</v>
      </c>
      <c r="V30" s="36">
        <v>68</v>
      </c>
      <c r="W30" s="36">
        <v>36</v>
      </c>
      <c r="X30" s="36">
        <v>53</v>
      </c>
      <c r="Y30" s="36">
        <v>71</v>
      </c>
      <c r="Z30" s="35">
        <f>U30+V30+W30+X30+Y30</f>
        <v>300</v>
      </c>
      <c r="AB30" s="36">
        <v>146</v>
      </c>
      <c r="AC30" s="36" t="s">
        <v>578</v>
      </c>
      <c r="AD30" s="36">
        <v>41</v>
      </c>
      <c r="AE30" s="36">
        <v>20</v>
      </c>
      <c r="AF30" s="36">
        <v>73</v>
      </c>
      <c r="AG30" s="36">
        <v>27</v>
      </c>
      <c r="AH30" s="36">
        <v>10</v>
      </c>
      <c r="AI30" s="35">
        <f>AD30+AE30+AF30+AG30+AH30</f>
        <v>171</v>
      </c>
      <c r="AK30" s="36">
        <v>198</v>
      </c>
      <c r="AL30" s="36" t="s">
        <v>579</v>
      </c>
      <c r="AM30" s="36">
        <v>11</v>
      </c>
      <c r="AN30" s="36">
        <v>88</v>
      </c>
      <c r="AO30" s="36">
        <v>24</v>
      </c>
      <c r="AP30" s="36">
        <v>82</v>
      </c>
      <c r="AQ30" s="36">
        <v>22</v>
      </c>
      <c r="AR30" s="35">
        <f>AM30+AN30+AO30+AP30+AQ30</f>
        <v>227</v>
      </c>
      <c r="AT30" s="36">
        <v>251</v>
      </c>
      <c r="AU30" s="36" t="s">
        <v>580</v>
      </c>
      <c r="AV30" s="36">
        <v>83</v>
      </c>
      <c r="AW30" s="36">
        <v>18</v>
      </c>
      <c r="AX30" s="36">
        <v>5</v>
      </c>
      <c r="AY30" s="36">
        <v>60</v>
      </c>
      <c r="AZ30" s="36">
        <v>56</v>
      </c>
      <c r="BA30" s="35">
        <f>AV30+AW30+AX30+AY30+AZ30</f>
        <v>222</v>
      </c>
      <c r="BC30" s="36">
        <v>303</v>
      </c>
      <c r="BD30" s="36" t="s">
        <v>576</v>
      </c>
      <c r="BE30" s="36">
        <v>79</v>
      </c>
      <c r="BF30" s="36">
        <v>65</v>
      </c>
      <c r="BG30" s="36">
        <v>53</v>
      </c>
      <c r="BH30" s="36">
        <v>89</v>
      </c>
      <c r="BI30" s="36">
        <v>82</v>
      </c>
      <c r="BJ30" s="35">
        <f>BE30+BF30+BG30+BH30+BI30</f>
        <v>368</v>
      </c>
      <c r="BL30" s="36">
        <v>355</v>
      </c>
      <c r="BM30" s="36" t="s">
        <v>581</v>
      </c>
      <c r="BN30" s="36">
        <v>54</v>
      </c>
      <c r="BO30" s="36">
        <v>20</v>
      </c>
      <c r="BP30" s="36">
        <v>58</v>
      </c>
      <c r="BQ30" s="36">
        <v>2</v>
      </c>
      <c r="BR30" s="36">
        <v>18</v>
      </c>
      <c r="BS30" s="35">
        <f>BN30+BO30+BP30+BQ30+BR30</f>
        <v>152</v>
      </c>
      <c r="BU30" s="36">
        <v>407</v>
      </c>
      <c r="BV30" s="36" t="s">
        <v>577</v>
      </c>
      <c r="BW30" s="36">
        <v>2</v>
      </c>
      <c r="BX30" s="36">
        <v>68</v>
      </c>
      <c r="BY30" s="36">
        <v>72</v>
      </c>
      <c r="BZ30" s="36">
        <v>30</v>
      </c>
      <c r="CA30" s="36">
        <v>40</v>
      </c>
      <c r="CB30" s="35">
        <f>BW30+BX30+BY30+BZ30+CA30</f>
        <v>212</v>
      </c>
    </row>
    <row r="31" spans="10:80" ht="18" customHeight="1" x14ac:dyDescent="0.2">
      <c r="J31" s="34">
        <v>43</v>
      </c>
      <c r="K31" s="34" t="s">
        <v>583</v>
      </c>
      <c r="L31" s="34">
        <v>43</v>
      </c>
      <c r="M31" s="34">
        <v>56</v>
      </c>
      <c r="N31" s="34">
        <v>35</v>
      </c>
      <c r="O31" s="34">
        <v>46</v>
      </c>
      <c r="P31" s="34">
        <v>48</v>
      </c>
      <c r="Q31" s="35">
        <f>L31+M31+N31+O31+P31</f>
        <v>228</v>
      </c>
      <c r="S31" s="34">
        <v>95</v>
      </c>
      <c r="T31" s="34" t="s">
        <v>584</v>
      </c>
      <c r="U31" s="34">
        <v>76</v>
      </c>
      <c r="V31" s="34">
        <v>36</v>
      </c>
      <c r="W31" s="34">
        <v>5</v>
      </c>
      <c r="X31" s="34">
        <v>79</v>
      </c>
      <c r="Y31" s="34">
        <v>60</v>
      </c>
      <c r="Z31" s="35">
        <f>U31+V31+W31+X31+Y31</f>
        <v>256</v>
      </c>
      <c r="AB31" s="34">
        <v>147</v>
      </c>
      <c r="AC31" s="34" t="s">
        <v>585</v>
      </c>
      <c r="AD31" s="34">
        <v>49</v>
      </c>
      <c r="AE31" s="34">
        <v>71</v>
      </c>
      <c r="AF31" s="34">
        <v>8</v>
      </c>
      <c r="AG31" s="34">
        <v>67</v>
      </c>
      <c r="AH31" s="34">
        <v>26</v>
      </c>
      <c r="AI31" s="35">
        <f>AD31+AE31+AF31+AG31+AH31</f>
        <v>221</v>
      </c>
      <c r="AK31" s="34">
        <v>199</v>
      </c>
      <c r="AL31" s="34" t="s">
        <v>586</v>
      </c>
      <c r="AM31" s="34">
        <v>69</v>
      </c>
      <c r="AN31" s="34">
        <v>77</v>
      </c>
      <c r="AO31" s="34">
        <v>3</v>
      </c>
      <c r="AP31" s="34">
        <v>20</v>
      </c>
      <c r="AQ31" s="34">
        <v>49</v>
      </c>
      <c r="AR31" s="35">
        <f>AM31+AN31+AO31+AP31+AQ31</f>
        <v>218</v>
      </c>
      <c r="AT31" s="34">
        <v>252</v>
      </c>
      <c r="AU31" s="34" t="s">
        <v>587</v>
      </c>
      <c r="AV31" s="34">
        <v>61</v>
      </c>
      <c r="AW31" s="34">
        <v>78</v>
      </c>
      <c r="AX31" s="34">
        <v>35</v>
      </c>
      <c r="AY31" s="34">
        <v>55</v>
      </c>
      <c r="AZ31" s="34">
        <v>33</v>
      </c>
      <c r="BA31" s="35">
        <f>AV31+AW31+AX31+AY31+AZ31</f>
        <v>262</v>
      </c>
      <c r="BC31" s="34">
        <v>304</v>
      </c>
      <c r="BD31" s="34" t="s">
        <v>583</v>
      </c>
      <c r="BE31" s="34">
        <v>86</v>
      </c>
      <c r="BF31" s="34">
        <v>67</v>
      </c>
      <c r="BG31" s="34">
        <v>41</v>
      </c>
      <c r="BH31" s="34">
        <v>33</v>
      </c>
      <c r="BI31" s="34">
        <v>38</v>
      </c>
      <c r="BJ31" s="35">
        <f>BE31+BF31+BG31+BH31+BI31</f>
        <v>265</v>
      </c>
      <c r="BL31" s="34">
        <v>356</v>
      </c>
      <c r="BM31" s="34" t="s">
        <v>588</v>
      </c>
      <c r="BN31" s="34">
        <v>28</v>
      </c>
      <c r="BO31" s="34">
        <v>34</v>
      </c>
      <c r="BP31" s="34">
        <v>5</v>
      </c>
      <c r="BQ31" s="34">
        <v>66</v>
      </c>
      <c r="BR31" s="34">
        <v>10</v>
      </c>
      <c r="BS31" s="35">
        <f>BN31+BO31+BP31+BQ31+BR31</f>
        <v>143</v>
      </c>
      <c r="BU31" s="34">
        <v>408</v>
      </c>
      <c r="BV31" s="34" t="s">
        <v>584</v>
      </c>
      <c r="BW31" s="34">
        <v>70</v>
      </c>
      <c r="BX31" s="34">
        <v>60</v>
      </c>
      <c r="BY31" s="34">
        <v>54</v>
      </c>
      <c r="BZ31" s="34">
        <v>71</v>
      </c>
      <c r="CA31" s="34">
        <v>22</v>
      </c>
      <c r="CB31" s="35">
        <f>BW31+BX31+BY31+BZ31+CA31</f>
        <v>277</v>
      </c>
    </row>
    <row r="32" spans="10:80" ht="18" customHeight="1" x14ac:dyDescent="0.2">
      <c r="J32" s="36">
        <v>44</v>
      </c>
      <c r="K32" s="36" t="s">
        <v>590</v>
      </c>
      <c r="L32" s="36">
        <v>59</v>
      </c>
      <c r="M32" s="36">
        <v>61</v>
      </c>
      <c r="N32" s="36">
        <v>52</v>
      </c>
      <c r="O32" s="36">
        <v>12</v>
      </c>
      <c r="P32" s="36">
        <v>27</v>
      </c>
      <c r="Q32" s="35">
        <f>L32+M32+N32+O32+P32</f>
        <v>211</v>
      </c>
      <c r="S32" s="36">
        <v>96</v>
      </c>
      <c r="T32" s="36" t="s">
        <v>591</v>
      </c>
      <c r="U32" s="36">
        <v>65</v>
      </c>
      <c r="V32" s="36">
        <v>82</v>
      </c>
      <c r="W32" s="36">
        <v>79</v>
      </c>
      <c r="X32" s="36">
        <v>81</v>
      </c>
      <c r="Y32" s="36">
        <v>33</v>
      </c>
      <c r="Z32" s="35">
        <f>U32+V32+W32+X32+Y32</f>
        <v>340</v>
      </c>
      <c r="AB32" s="36">
        <v>148</v>
      </c>
      <c r="AC32" s="36" t="s">
        <v>592</v>
      </c>
      <c r="AD32" s="36">
        <v>9</v>
      </c>
      <c r="AE32" s="36">
        <v>51</v>
      </c>
      <c r="AF32" s="36">
        <v>71</v>
      </c>
      <c r="AG32" s="36">
        <v>22</v>
      </c>
      <c r="AH32" s="36">
        <v>59</v>
      </c>
      <c r="AI32" s="35">
        <f>AD32+AE32+AF32+AG32+AH32</f>
        <v>212</v>
      </c>
      <c r="AK32" s="36">
        <v>200</v>
      </c>
      <c r="AL32" s="36" t="s">
        <v>593</v>
      </c>
      <c r="AM32" s="36">
        <v>89</v>
      </c>
      <c r="AN32" s="36">
        <v>79</v>
      </c>
      <c r="AO32" s="36">
        <v>80</v>
      </c>
      <c r="AP32" s="36">
        <v>39</v>
      </c>
      <c r="AQ32" s="36">
        <v>22</v>
      </c>
      <c r="AR32" s="35">
        <f>AM32+AN32+AO32+AP32+AQ32</f>
        <v>309</v>
      </c>
      <c r="AT32" s="36">
        <v>253</v>
      </c>
      <c r="AU32" s="36" t="s">
        <v>594</v>
      </c>
      <c r="AV32" s="36">
        <v>12</v>
      </c>
      <c r="AW32" s="36">
        <v>35</v>
      </c>
      <c r="AX32" s="36">
        <v>87</v>
      </c>
      <c r="AY32" s="36">
        <v>48</v>
      </c>
      <c r="AZ32" s="36">
        <v>50</v>
      </c>
      <c r="BA32" s="35">
        <f>AV32+AW32+AX32+AY32+AZ32</f>
        <v>232</v>
      </c>
      <c r="BC32" s="36">
        <v>305</v>
      </c>
      <c r="BD32" s="36" t="s">
        <v>590</v>
      </c>
      <c r="BE32" s="36">
        <v>33</v>
      </c>
      <c r="BF32" s="36">
        <v>37</v>
      </c>
      <c r="BG32" s="36">
        <v>7</v>
      </c>
      <c r="BH32" s="36">
        <v>39</v>
      </c>
      <c r="BI32" s="36">
        <v>1</v>
      </c>
      <c r="BJ32" s="35">
        <f>BE32+BF32+BG32+BH32+BI32</f>
        <v>117</v>
      </c>
      <c r="BL32" s="36">
        <v>357</v>
      </c>
      <c r="BM32" s="36" t="s">
        <v>595</v>
      </c>
      <c r="BN32" s="36">
        <v>86</v>
      </c>
      <c r="BO32" s="36">
        <v>58</v>
      </c>
      <c r="BP32" s="36">
        <v>4</v>
      </c>
      <c r="BQ32" s="36">
        <v>22</v>
      </c>
      <c r="BR32" s="36">
        <v>50</v>
      </c>
      <c r="BS32" s="35">
        <f>BN32+BO32+BP32+BQ32+BR32</f>
        <v>220</v>
      </c>
      <c r="BU32" s="36">
        <v>409</v>
      </c>
      <c r="BV32" s="36" t="s">
        <v>591</v>
      </c>
      <c r="BW32" s="36">
        <v>49</v>
      </c>
      <c r="BX32" s="36">
        <v>70</v>
      </c>
      <c r="BY32" s="36">
        <v>55</v>
      </c>
      <c r="BZ32" s="36">
        <v>13</v>
      </c>
      <c r="CA32" s="36">
        <v>5</v>
      </c>
      <c r="CB32" s="35">
        <f>BW32+BX32+BY32+BZ32+CA32</f>
        <v>192</v>
      </c>
    </row>
    <row r="33" spans="10:80" ht="18" customHeight="1" x14ac:dyDescent="0.2">
      <c r="J33" s="34">
        <v>45</v>
      </c>
      <c r="K33" s="34" t="s">
        <v>597</v>
      </c>
      <c r="L33" s="34">
        <v>36</v>
      </c>
      <c r="M33" s="34">
        <v>56</v>
      </c>
      <c r="N33" s="34">
        <v>15</v>
      </c>
      <c r="O33" s="34">
        <v>54</v>
      </c>
      <c r="P33" s="34">
        <v>43</v>
      </c>
      <c r="Q33" s="35">
        <f>L33+M33+N33+O33+P33</f>
        <v>204</v>
      </c>
      <c r="S33" s="34">
        <v>97</v>
      </c>
      <c r="T33" s="34" t="s">
        <v>598</v>
      </c>
      <c r="U33" s="34">
        <v>14</v>
      </c>
      <c r="V33" s="34">
        <v>47</v>
      </c>
      <c r="W33" s="34">
        <v>2</v>
      </c>
      <c r="X33" s="34">
        <v>22</v>
      </c>
      <c r="Y33" s="34">
        <v>74</v>
      </c>
      <c r="Z33" s="35">
        <f>U33+V33+W33+X33+Y33</f>
        <v>159</v>
      </c>
      <c r="AB33" s="34">
        <v>149</v>
      </c>
      <c r="AC33" s="34" t="s">
        <v>599</v>
      </c>
      <c r="AD33" s="34">
        <v>57</v>
      </c>
      <c r="AE33" s="34">
        <v>21</v>
      </c>
      <c r="AF33" s="34">
        <v>48</v>
      </c>
      <c r="AG33" s="34">
        <v>41</v>
      </c>
      <c r="AH33" s="34">
        <v>36</v>
      </c>
      <c r="AI33" s="35">
        <f>AD33+AE33+AF33+AG33+AH33</f>
        <v>203</v>
      </c>
      <c r="AK33" s="34">
        <v>201</v>
      </c>
      <c r="AL33" s="34" t="s">
        <v>600</v>
      </c>
      <c r="AM33" s="34">
        <v>72</v>
      </c>
      <c r="AN33" s="34">
        <v>44</v>
      </c>
      <c r="AO33" s="34">
        <v>14</v>
      </c>
      <c r="AP33" s="34">
        <v>51</v>
      </c>
      <c r="AQ33" s="34">
        <v>22</v>
      </c>
      <c r="AR33" s="35">
        <f>AM33+AN33+AO33+AP33+AQ33</f>
        <v>203</v>
      </c>
      <c r="AT33" s="34">
        <v>254</v>
      </c>
      <c r="AU33" s="34" t="s">
        <v>601</v>
      </c>
      <c r="AV33" s="34">
        <v>45</v>
      </c>
      <c r="AW33" s="34">
        <v>61</v>
      </c>
      <c r="AX33" s="34">
        <v>13</v>
      </c>
      <c r="AY33" s="34">
        <v>87</v>
      </c>
      <c r="AZ33" s="34">
        <v>16</v>
      </c>
      <c r="BA33" s="35">
        <f>AV33+AW33+AX33+AY33+AZ33</f>
        <v>222</v>
      </c>
      <c r="BC33" s="34">
        <v>306</v>
      </c>
      <c r="BD33" s="34" t="s">
        <v>597</v>
      </c>
      <c r="BE33" s="34">
        <v>35</v>
      </c>
      <c r="BF33" s="34">
        <v>50</v>
      </c>
      <c r="BG33" s="34">
        <v>48</v>
      </c>
      <c r="BH33" s="34">
        <v>79</v>
      </c>
      <c r="BI33" s="34">
        <v>13</v>
      </c>
      <c r="BJ33" s="35">
        <f>BE33+BF33+BG33+BH33+BI33</f>
        <v>225</v>
      </c>
      <c r="BL33" s="34">
        <v>358</v>
      </c>
      <c r="BM33" s="34" t="s">
        <v>602</v>
      </c>
      <c r="BN33" s="34">
        <v>24</v>
      </c>
      <c r="BO33" s="34">
        <v>85</v>
      </c>
      <c r="BP33" s="34">
        <v>33</v>
      </c>
      <c r="BQ33" s="34">
        <v>51</v>
      </c>
      <c r="BR33" s="34">
        <v>87</v>
      </c>
      <c r="BS33" s="35">
        <f>BN33+BO33+BP33+BQ33+BR33</f>
        <v>280</v>
      </c>
      <c r="BU33" s="34">
        <v>410</v>
      </c>
      <c r="BV33" s="34" t="s">
        <v>598</v>
      </c>
      <c r="BW33" s="34">
        <v>90</v>
      </c>
      <c r="BX33" s="34">
        <v>56</v>
      </c>
      <c r="BY33" s="34">
        <v>19</v>
      </c>
      <c r="BZ33" s="34">
        <v>42</v>
      </c>
      <c r="CA33" s="34">
        <v>15</v>
      </c>
      <c r="CB33" s="35">
        <f>BW33+BX33+BY33+BZ33+CA33</f>
        <v>222</v>
      </c>
    </row>
    <row r="34" spans="10:80" ht="18" customHeight="1" x14ac:dyDescent="0.2">
      <c r="J34" s="36">
        <v>46</v>
      </c>
      <c r="K34" s="36" t="s">
        <v>604</v>
      </c>
      <c r="L34" s="36">
        <v>49</v>
      </c>
      <c r="M34" s="36">
        <v>90</v>
      </c>
      <c r="N34" s="36">
        <v>6</v>
      </c>
      <c r="O34" s="36">
        <v>53</v>
      </c>
      <c r="P34" s="36">
        <v>80</v>
      </c>
      <c r="Q34" s="35">
        <f>L34+M34+N34+O34+P34</f>
        <v>278</v>
      </c>
      <c r="S34" s="36">
        <v>98</v>
      </c>
      <c r="T34" s="36" t="s">
        <v>605</v>
      </c>
      <c r="U34" s="36">
        <v>17</v>
      </c>
      <c r="V34" s="36">
        <v>86</v>
      </c>
      <c r="W34" s="36">
        <v>88</v>
      </c>
      <c r="X34" s="36">
        <v>24</v>
      </c>
      <c r="Y34" s="36">
        <v>43</v>
      </c>
      <c r="Z34" s="35">
        <f>U34+V34+W34+X34+Y34</f>
        <v>258</v>
      </c>
      <c r="AB34" s="36">
        <v>150</v>
      </c>
      <c r="AC34" s="36" t="s">
        <v>606</v>
      </c>
      <c r="AD34" s="36">
        <v>4</v>
      </c>
      <c r="AE34" s="36">
        <v>38</v>
      </c>
      <c r="AF34" s="36">
        <v>72</v>
      </c>
      <c r="AG34" s="36">
        <v>84</v>
      </c>
      <c r="AH34" s="36">
        <v>55</v>
      </c>
      <c r="AI34" s="35">
        <f>AD34+AE34+AF34+AG34+AH34</f>
        <v>253</v>
      </c>
      <c r="AK34" s="36">
        <v>202</v>
      </c>
      <c r="AL34" s="36" t="s">
        <v>607</v>
      </c>
      <c r="AM34" s="36">
        <v>25</v>
      </c>
      <c r="AN34" s="36">
        <v>34</v>
      </c>
      <c r="AO34" s="36">
        <v>81</v>
      </c>
      <c r="AP34" s="36">
        <v>58</v>
      </c>
      <c r="AQ34" s="36">
        <v>17</v>
      </c>
      <c r="AR34" s="35">
        <f>AM34+AN34+AO34+AP34+AQ34</f>
        <v>215</v>
      </c>
      <c r="AT34" s="36">
        <v>255</v>
      </c>
      <c r="AU34" s="36" t="s">
        <v>608</v>
      </c>
      <c r="AV34" s="36">
        <v>74</v>
      </c>
      <c r="AW34" s="36">
        <v>13</v>
      </c>
      <c r="AX34" s="36">
        <v>33</v>
      </c>
      <c r="AY34" s="36">
        <v>1</v>
      </c>
      <c r="AZ34" s="36">
        <v>18</v>
      </c>
      <c r="BA34" s="35">
        <f>AV34+AW34+AX34+AY34+AZ34</f>
        <v>139</v>
      </c>
      <c r="BC34" s="36">
        <v>307</v>
      </c>
      <c r="BD34" s="36" t="s">
        <v>604</v>
      </c>
      <c r="BE34" s="36">
        <v>89</v>
      </c>
      <c r="BF34" s="36">
        <v>81</v>
      </c>
      <c r="BG34" s="36">
        <v>31</v>
      </c>
      <c r="BH34" s="36">
        <v>75</v>
      </c>
      <c r="BI34" s="36">
        <v>42</v>
      </c>
      <c r="BJ34" s="35">
        <f>BE34+BF34+BG34+BH34+BI34</f>
        <v>318</v>
      </c>
      <c r="BL34" s="36">
        <v>359</v>
      </c>
      <c r="BM34" s="36" t="s">
        <v>609</v>
      </c>
      <c r="BN34" s="36">
        <v>63</v>
      </c>
      <c r="BO34" s="36">
        <v>65</v>
      </c>
      <c r="BP34" s="36">
        <v>88</v>
      </c>
      <c r="BQ34" s="36">
        <v>20</v>
      </c>
      <c r="BR34" s="36">
        <v>8</v>
      </c>
      <c r="BS34" s="35">
        <f>BN34+BO34+BP34+BQ34+BR34</f>
        <v>244</v>
      </c>
      <c r="BU34" s="36">
        <v>411</v>
      </c>
      <c r="BV34" s="36" t="s">
        <v>605</v>
      </c>
      <c r="BW34" s="36">
        <v>14</v>
      </c>
      <c r="BX34" s="36">
        <v>41</v>
      </c>
      <c r="BY34" s="36">
        <v>40</v>
      </c>
      <c r="BZ34" s="36">
        <v>31</v>
      </c>
      <c r="CA34" s="36">
        <v>47</v>
      </c>
      <c r="CB34" s="35">
        <f>BW34+BX34+BY34+BZ34+CA34</f>
        <v>173</v>
      </c>
    </row>
    <row r="35" spans="10:80" ht="18" customHeight="1" x14ac:dyDescent="0.2">
      <c r="J35" s="34">
        <v>47</v>
      </c>
      <c r="K35" s="34" t="s">
        <v>611</v>
      </c>
      <c r="L35" s="34">
        <v>82</v>
      </c>
      <c r="M35" s="34">
        <v>30</v>
      </c>
      <c r="N35" s="34">
        <v>65</v>
      </c>
      <c r="O35" s="34">
        <v>90</v>
      </c>
      <c r="P35" s="34">
        <v>56</v>
      </c>
      <c r="Q35" s="35">
        <f>L35+M35+N35+O35+P35</f>
        <v>323</v>
      </c>
      <c r="S35" s="34">
        <v>99</v>
      </c>
      <c r="T35" s="34" t="s">
        <v>612</v>
      </c>
      <c r="U35" s="34">
        <v>44</v>
      </c>
      <c r="V35" s="34">
        <v>88</v>
      </c>
      <c r="W35" s="34">
        <v>79</v>
      </c>
      <c r="X35" s="34">
        <v>20</v>
      </c>
      <c r="Y35" s="34">
        <v>89</v>
      </c>
      <c r="Z35" s="35">
        <f>U35+V35+W35+X35+Y35</f>
        <v>320</v>
      </c>
      <c r="AB35" s="34">
        <v>151</v>
      </c>
      <c r="AC35" s="34" t="s">
        <v>613</v>
      </c>
      <c r="AD35" s="34">
        <v>58</v>
      </c>
      <c r="AE35" s="34">
        <v>76</v>
      </c>
      <c r="AF35" s="34">
        <v>19</v>
      </c>
      <c r="AG35" s="34">
        <v>52</v>
      </c>
      <c r="AH35" s="34">
        <v>27</v>
      </c>
      <c r="AI35" s="35">
        <f>AD35+AE35+AF35+AG35+AH35</f>
        <v>232</v>
      </c>
      <c r="AK35" s="34">
        <v>203</v>
      </c>
      <c r="AL35" s="34" t="s">
        <v>614</v>
      </c>
      <c r="AM35" s="34">
        <v>9</v>
      </c>
      <c r="AN35" s="34">
        <v>84</v>
      </c>
      <c r="AO35" s="34">
        <v>53</v>
      </c>
      <c r="AP35" s="34">
        <v>60</v>
      </c>
      <c r="AQ35" s="34">
        <v>1</v>
      </c>
      <c r="AR35" s="35">
        <f>AM35+AN35+AO35+AP35+AQ35</f>
        <v>207</v>
      </c>
      <c r="AT35" s="34">
        <v>256</v>
      </c>
      <c r="AU35" s="34" t="s">
        <v>615</v>
      </c>
      <c r="AV35" s="34">
        <v>75</v>
      </c>
      <c r="AW35" s="34">
        <v>27</v>
      </c>
      <c r="AX35" s="34">
        <v>19</v>
      </c>
      <c r="AY35" s="34">
        <v>52</v>
      </c>
      <c r="AZ35" s="34">
        <v>6</v>
      </c>
      <c r="BA35" s="35">
        <f>AV35+AW35+AX35+AY35+AZ35</f>
        <v>179</v>
      </c>
      <c r="BC35" s="34">
        <v>308</v>
      </c>
      <c r="BD35" s="34" t="s">
        <v>611</v>
      </c>
      <c r="BE35" s="34">
        <v>68</v>
      </c>
      <c r="BF35" s="34">
        <v>89</v>
      </c>
      <c r="BG35" s="34">
        <v>42</v>
      </c>
      <c r="BH35" s="34">
        <v>16</v>
      </c>
      <c r="BI35" s="34">
        <v>81</v>
      </c>
      <c r="BJ35" s="35">
        <f>BE35+BF35+BG35+BH35+BI35</f>
        <v>296</v>
      </c>
      <c r="BL35" s="34">
        <v>360</v>
      </c>
      <c r="BM35" s="34" t="s">
        <v>616</v>
      </c>
      <c r="BN35" s="34">
        <v>22</v>
      </c>
      <c r="BO35" s="34">
        <v>81</v>
      </c>
      <c r="BP35" s="34">
        <v>88</v>
      </c>
      <c r="BQ35" s="34">
        <v>72</v>
      </c>
      <c r="BR35" s="34">
        <v>29</v>
      </c>
      <c r="BS35" s="35">
        <f>BN35+BO35+BP35+BQ35+BR35</f>
        <v>292</v>
      </c>
      <c r="BU35" s="34">
        <v>412</v>
      </c>
      <c r="BV35" s="34" t="s">
        <v>612</v>
      </c>
      <c r="BW35" s="34">
        <v>83</v>
      </c>
      <c r="BX35" s="34">
        <v>32</v>
      </c>
      <c r="BY35" s="34">
        <v>85</v>
      </c>
      <c r="BZ35" s="34">
        <v>63</v>
      </c>
      <c r="CA35" s="34">
        <v>43</v>
      </c>
      <c r="CB35" s="35">
        <f>BW35+BX35+BY35+BZ35+CA35</f>
        <v>306</v>
      </c>
    </row>
    <row r="36" spans="10:80" ht="18" customHeight="1" x14ac:dyDescent="0.2">
      <c r="J36" s="36">
        <v>48</v>
      </c>
      <c r="K36" s="36" t="s">
        <v>618</v>
      </c>
      <c r="L36" s="36">
        <v>73</v>
      </c>
      <c r="M36" s="36">
        <v>75</v>
      </c>
      <c r="N36" s="36">
        <v>53</v>
      </c>
      <c r="O36" s="36">
        <v>43</v>
      </c>
      <c r="P36" s="36">
        <v>41</v>
      </c>
      <c r="Q36" s="35">
        <f>L36+M36+N36+O36+P36</f>
        <v>285</v>
      </c>
      <c r="S36" s="36">
        <v>100</v>
      </c>
      <c r="T36" s="36" t="s">
        <v>619</v>
      </c>
      <c r="U36" s="36">
        <v>85</v>
      </c>
      <c r="V36" s="36">
        <v>14</v>
      </c>
      <c r="W36" s="36">
        <v>28</v>
      </c>
      <c r="X36" s="36">
        <v>62</v>
      </c>
      <c r="Y36" s="36">
        <v>69</v>
      </c>
      <c r="Z36" s="35">
        <f>U36+V36+W36+X36+Y36</f>
        <v>258</v>
      </c>
      <c r="AB36" s="36">
        <v>152</v>
      </c>
      <c r="AC36" s="36" t="s">
        <v>620</v>
      </c>
      <c r="AD36" s="36">
        <v>19</v>
      </c>
      <c r="AE36" s="36">
        <v>6</v>
      </c>
      <c r="AF36" s="36">
        <v>52</v>
      </c>
      <c r="AG36" s="36">
        <v>26</v>
      </c>
      <c r="AH36" s="36">
        <v>20</v>
      </c>
      <c r="AI36" s="35">
        <f>AD36+AE36+AF36+AG36+AH36</f>
        <v>123</v>
      </c>
      <c r="AK36" s="36">
        <v>204</v>
      </c>
      <c r="AL36" s="36" t="s">
        <v>621</v>
      </c>
      <c r="AM36" s="36">
        <v>82</v>
      </c>
      <c r="AN36" s="36">
        <v>88</v>
      </c>
      <c r="AO36" s="36">
        <v>12</v>
      </c>
      <c r="AP36" s="36">
        <v>37</v>
      </c>
      <c r="AQ36" s="36">
        <v>53</v>
      </c>
      <c r="AR36" s="35">
        <f>AM36+AN36+AO36+AP36+AQ36</f>
        <v>272</v>
      </c>
      <c r="AT36" s="36">
        <v>257</v>
      </c>
      <c r="AU36" s="36" t="s">
        <v>622</v>
      </c>
      <c r="AV36" s="36">
        <v>21</v>
      </c>
      <c r="AW36" s="36">
        <v>87</v>
      </c>
      <c r="AX36" s="36">
        <v>25</v>
      </c>
      <c r="AY36" s="36">
        <v>74</v>
      </c>
      <c r="AZ36" s="36">
        <v>2</v>
      </c>
      <c r="BA36" s="35">
        <f>AV36+AW36+AX36+AY36+AZ36</f>
        <v>209</v>
      </c>
      <c r="BC36" s="36">
        <v>309</v>
      </c>
      <c r="BD36" s="36" t="s">
        <v>618</v>
      </c>
      <c r="BE36" s="36">
        <v>35</v>
      </c>
      <c r="BF36" s="36">
        <v>55</v>
      </c>
      <c r="BG36" s="36">
        <v>29</v>
      </c>
      <c r="BH36" s="36">
        <v>12</v>
      </c>
      <c r="BI36" s="36">
        <v>70</v>
      </c>
      <c r="BJ36" s="35">
        <f>BE36+BF36+BG36+BH36+BI36</f>
        <v>201</v>
      </c>
      <c r="BL36" s="36">
        <v>361</v>
      </c>
      <c r="BM36" s="36" t="s">
        <v>623</v>
      </c>
      <c r="BN36" s="36">
        <v>5</v>
      </c>
      <c r="BO36" s="36">
        <v>45</v>
      </c>
      <c r="BP36" s="36">
        <v>16</v>
      </c>
      <c r="BQ36" s="36">
        <v>52</v>
      </c>
      <c r="BR36" s="36">
        <v>85</v>
      </c>
      <c r="BS36" s="35">
        <f>BN36+BO36+BP36+BQ36+BR36</f>
        <v>203</v>
      </c>
      <c r="BU36" s="36">
        <v>413</v>
      </c>
      <c r="BV36" s="36" t="s">
        <v>619</v>
      </c>
      <c r="BW36" s="36">
        <v>70</v>
      </c>
      <c r="BX36" s="36">
        <v>9</v>
      </c>
      <c r="BY36" s="36">
        <v>39</v>
      </c>
      <c r="BZ36" s="36">
        <v>12</v>
      </c>
      <c r="CA36" s="36">
        <v>2</v>
      </c>
      <c r="CB36" s="35">
        <f>BW36+BX36+BY36+BZ36+CA36</f>
        <v>132</v>
      </c>
    </row>
    <row r="37" spans="10:80" ht="18" customHeight="1" x14ac:dyDescent="0.2">
      <c r="J37" s="34">
        <v>49</v>
      </c>
      <c r="K37" s="34" t="s">
        <v>625</v>
      </c>
      <c r="L37" s="34">
        <v>16</v>
      </c>
      <c r="M37" s="34">
        <v>87</v>
      </c>
      <c r="N37" s="34">
        <v>85</v>
      </c>
      <c r="O37" s="34">
        <v>75</v>
      </c>
      <c r="P37" s="34">
        <v>53</v>
      </c>
      <c r="Q37" s="35">
        <f>L37+M37+N37+O37+P37</f>
        <v>316</v>
      </c>
      <c r="S37" s="34">
        <v>101</v>
      </c>
      <c r="T37" s="34" t="s">
        <v>626</v>
      </c>
      <c r="U37" s="34">
        <v>5</v>
      </c>
      <c r="V37" s="34">
        <v>40</v>
      </c>
      <c r="W37" s="34">
        <v>55</v>
      </c>
      <c r="X37" s="34">
        <v>74</v>
      </c>
      <c r="Y37" s="34">
        <v>27</v>
      </c>
      <c r="Z37" s="35">
        <f>U37+V37+W37+X37+Y37</f>
        <v>201</v>
      </c>
      <c r="AB37" s="34">
        <v>153</v>
      </c>
      <c r="AC37" s="34" t="s">
        <v>627</v>
      </c>
      <c r="AD37" s="34">
        <v>66</v>
      </c>
      <c r="AE37" s="34">
        <v>82</v>
      </c>
      <c r="AF37" s="34">
        <v>61</v>
      </c>
      <c r="AG37" s="34">
        <v>85</v>
      </c>
      <c r="AH37" s="34">
        <v>4</v>
      </c>
      <c r="AI37" s="35">
        <f>AD37+AE37+AF37+AG37+AH37</f>
        <v>298</v>
      </c>
      <c r="AK37" s="34">
        <v>205</v>
      </c>
      <c r="AL37" s="34" t="s">
        <v>628</v>
      </c>
      <c r="AM37" s="34">
        <v>70</v>
      </c>
      <c r="AN37" s="34">
        <v>64</v>
      </c>
      <c r="AO37" s="34">
        <v>60</v>
      </c>
      <c r="AP37" s="34">
        <v>9</v>
      </c>
      <c r="AQ37" s="34">
        <v>69</v>
      </c>
      <c r="AR37" s="35">
        <f>AM37+AN37+AO37+AP37+AQ37</f>
        <v>272</v>
      </c>
      <c r="AT37" s="34">
        <v>258</v>
      </c>
      <c r="AU37" s="34" t="s">
        <v>629</v>
      </c>
      <c r="AV37" s="34">
        <v>55</v>
      </c>
      <c r="AW37" s="34">
        <v>2</v>
      </c>
      <c r="AX37" s="34">
        <v>52</v>
      </c>
      <c r="AY37" s="34">
        <v>19</v>
      </c>
      <c r="AZ37" s="34">
        <v>77</v>
      </c>
      <c r="BA37" s="35">
        <f>AV37+AW37+AX37+AY37+AZ37</f>
        <v>205</v>
      </c>
      <c r="BC37" s="34">
        <v>310</v>
      </c>
      <c r="BD37" s="34" t="s">
        <v>625</v>
      </c>
      <c r="BE37" s="34">
        <v>82</v>
      </c>
      <c r="BF37" s="34">
        <v>88</v>
      </c>
      <c r="BG37" s="34">
        <v>13</v>
      </c>
      <c r="BH37" s="34">
        <v>37</v>
      </c>
      <c r="BI37" s="34">
        <v>51</v>
      </c>
      <c r="BJ37" s="35">
        <f>BE37+BF37+BG37+BH37+BI37</f>
        <v>271</v>
      </c>
      <c r="BL37" s="34">
        <v>362</v>
      </c>
      <c r="BM37" s="34" t="s">
        <v>630</v>
      </c>
      <c r="BN37" s="34">
        <v>71</v>
      </c>
      <c r="BO37" s="34">
        <v>81</v>
      </c>
      <c r="BP37" s="34">
        <v>42</v>
      </c>
      <c r="BQ37" s="34">
        <v>51</v>
      </c>
      <c r="BR37" s="34">
        <v>21</v>
      </c>
      <c r="BS37" s="35">
        <f>BN37+BO37+BP37+BQ37+BR37</f>
        <v>266</v>
      </c>
      <c r="BU37" s="34">
        <v>414</v>
      </c>
      <c r="BV37" s="34" t="s">
        <v>626</v>
      </c>
      <c r="BW37" s="34">
        <v>89</v>
      </c>
      <c r="BX37" s="34">
        <v>49</v>
      </c>
      <c r="BY37" s="34">
        <v>39</v>
      </c>
      <c r="BZ37" s="34">
        <v>68</v>
      </c>
      <c r="CA37" s="34">
        <v>4</v>
      </c>
      <c r="CB37" s="35">
        <f>BW37+BX37+BY37+BZ37+CA37</f>
        <v>249</v>
      </c>
    </row>
    <row r="38" spans="10:80" ht="18" customHeight="1" x14ac:dyDescent="0.2">
      <c r="J38" s="36">
        <v>50</v>
      </c>
      <c r="K38" s="36" t="s">
        <v>632</v>
      </c>
      <c r="L38" s="36">
        <v>29</v>
      </c>
      <c r="M38" s="36">
        <v>13</v>
      </c>
      <c r="N38" s="36">
        <v>36</v>
      </c>
      <c r="O38" s="36">
        <v>21</v>
      </c>
      <c r="P38" s="36">
        <v>55</v>
      </c>
      <c r="Q38" s="35">
        <f>L38+M38+N38+O38+P38</f>
        <v>154</v>
      </c>
      <c r="S38" s="36">
        <v>102</v>
      </c>
      <c r="T38" s="36" t="s">
        <v>633</v>
      </c>
      <c r="U38" s="36">
        <v>44</v>
      </c>
      <c r="V38" s="36">
        <v>51</v>
      </c>
      <c r="W38" s="36">
        <v>28</v>
      </c>
      <c r="X38" s="36">
        <v>21</v>
      </c>
      <c r="Y38" s="36">
        <v>12</v>
      </c>
      <c r="Z38" s="35">
        <f>U38+V38+W38+X38+Y38</f>
        <v>156</v>
      </c>
      <c r="AB38" s="36">
        <v>154</v>
      </c>
      <c r="AC38" s="36" t="s">
        <v>634</v>
      </c>
      <c r="AD38" s="36">
        <v>26</v>
      </c>
      <c r="AE38" s="36">
        <v>23</v>
      </c>
      <c r="AF38" s="36">
        <v>21</v>
      </c>
      <c r="AG38" s="36">
        <v>29</v>
      </c>
      <c r="AH38" s="36">
        <v>33</v>
      </c>
      <c r="AI38" s="35">
        <f>AD38+AE38+AF38+AG38+AH38</f>
        <v>132</v>
      </c>
      <c r="AK38" s="36">
        <v>206</v>
      </c>
      <c r="AL38" s="36" t="s">
        <v>635</v>
      </c>
      <c r="AM38" s="36">
        <v>85</v>
      </c>
      <c r="AN38" s="36">
        <v>29</v>
      </c>
      <c r="AO38" s="36">
        <v>17</v>
      </c>
      <c r="AP38" s="36">
        <v>82</v>
      </c>
      <c r="AQ38" s="36">
        <v>87</v>
      </c>
      <c r="AR38" s="35">
        <f>AM38+AN38+AO38+AP38+AQ38</f>
        <v>300</v>
      </c>
      <c r="AT38" s="36">
        <v>259</v>
      </c>
      <c r="AU38" s="36" t="s">
        <v>636</v>
      </c>
      <c r="AV38" s="36">
        <v>73</v>
      </c>
      <c r="AW38" s="36">
        <v>80</v>
      </c>
      <c r="AX38" s="36">
        <v>85</v>
      </c>
      <c r="AY38" s="36">
        <v>86</v>
      </c>
      <c r="AZ38" s="36">
        <v>64</v>
      </c>
      <c r="BA38" s="35">
        <f>AV38+AW38+AX38+AY38+AZ38</f>
        <v>388</v>
      </c>
      <c r="BC38" s="36">
        <v>311</v>
      </c>
      <c r="BD38" s="36" t="s">
        <v>632</v>
      </c>
      <c r="BE38" s="36">
        <v>33</v>
      </c>
      <c r="BF38" s="36">
        <v>80</v>
      </c>
      <c r="BG38" s="36">
        <v>72</v>
      </c>
      <c r="BH38" s="36">
        <v>53</v>
      </c>
      <c r="BI38" s="36">
        <v>48</v>
      </c>
      <c r="BJ38" s="35">
        <f>BE38+BF38+BG38+BH38+BI38</f>
        <v>286</v>
      </c>
      <c r="BL38" s="36">
        <v>363</v>
      </c>
      <c r="BM38" s="36" t="s">
        <v>637</v>
      </c>
      <c r="BN38" s="36">
        <v>83</v>
      </c>
      <c r="BO38" s="36">
        <v>31</v>
      </c>
      <c r="BP38" s="36">
        <v>23</v>
      </c>
      <c r="BQ38" s="36">
        <v>6</v>
      </c>
      <c r="BR38" s="36">
        <v>67</v>
      </c>
      <c r="BS38" s="35">
        <f>BN38+BO38+BP38+BQ38+BR38</f>
        <v>210</v>
      </c>
      <c r="BU38" s="36">
        <v>415</v>
      </c>
      <c r="BV38" s="36" t="s">
        <v>633</v>
      </c>
      <c r="BW38" s="36">
        <v>69</v>
      </c>
      <c r="BX38" s="36">
        <v>9</v>
      </c>
      <c r="BY38" s="36">
        <v>43</v>
      </c>
      <c r="BZ38" s="36">
        <v>28</v>
      </c>
      <c r="CA38" s="36">
        <v>17</v>
      </c>
      <c r="CB38" s="35">
        <f>BW38+BX38+BY38+BZ38+CA38</f>
        <v>166</v>
      </c>
    </row>
    <row r="39" spans="10:80" ht="18" customHeight="1" x14ac:dyDescent="0.2">
      <c r="J39" s="34">
        <v>51</v>
      </c>
      <c r="K39" s="34" t="s">
        <v>639</v>
      </c>
      <c r="L39" s="34">
        <v>12</v>
      </c>
      <c r="M39" s="34">
        <v>35</v>
      </c>
      <c r="N39" s="34">
        <v>40</v>
      </c>
      <c r="O39" s="34">
        <v>86</v>
      </c>
      <c r="P39" s="34">
        <v>77</v>
      </c>
      <c r="Q39" s="35">
        <f>L39+M39+N39+O39+P39</f>
        <v>250</v>
      </c>
      <c r="S39" s="34">
        <v>103</v>
      </c>
      <c r="T39" s="34" t="s">
        <v>640</v>
      </c>
      <c r="U39" s="34">
        <v>9</v>
      </c>
      <c r="V39" s="34">
        <v>45</v>
      </c>
      <c r="W39" s="34">
        <v>55</v>
      </c>
      <c r="X39" s="34">
        <v>49</v>
      </c>
      <c r="Y39" s="34">
        <v>74</v>
      </c>
      <c r="Z39" s="35">
        <f>U39+V39+W39+X39+Y39</f>
        <v>232</v>
      </c>
      <c r="AB39" s="34">
        <v>155</v>
      </c>
      <c r="AC39" s="34" t="s">
        <v>641</v>
      </c>
      <c r="AD39" s="34">
        <v>43</v>
      </c>
      <c r="AE39" s="34">
        <v>51</v>
      </c>
      <c r="AF39" s="34">
        <v>54</v>
      </c>
      <c r="AG39" s="34">
        <v>89</v>
      </c>
      <c r="AH39" s="34">
        <v>84</v>
      </c>
      <c r="AI39" s="35">
        <f>AD39+AE39+AF39+AG39+AH39</f>
        <v>321</v>
      </c>
      <c r="AK39" s="34">
        <v>207</v>
      </c>
      <c r="AL39" s="34" t="s">
        <v>642</v>
      </c>
      <c r="AM39" s="34">
        <v>36</v>
      </c>
      <c r="AN39" s="34">
        <v>20</v>
      </c>
      <c r="AO39" s="34">
        <v>48</v>
      </c>
      <c r="AP39" s="34">
        <v>39</v>
      </c>
      <c r="AQ39" s="34">
        <v>31</v>
      </c>
      <c r="AR39" s="35">
        <f>AM39+AN39+AO39+AP39+AQ39</f>
        <v>174</v>
      </c>
      <c r="AT39" s="34">
        <v>260</v>
      </c>
      <c r="AU39" s="34" t="s">
        <v>643</v>
      </c>
      <c r="AV39" s="34">
        <v>39</v>
      </c>
      <c r="AW39" s="34">
        <v>21</v>
      </c>
      <c r="AX39" s="34">
        <v>89</v>
      </c>
      <c r="AY39" s="34">
        <v>72</v>
      </c>
      <c r="AZ39" s="34">
        <v>77</v>
      </c>
      <c r="BA39" s="35">
        <f>AV39+AW39+AX39+AY39+AZ39</f>
        <v>298</v>
      </c>
      <c r="BC39" s="34">
        <v>312</v>
      </c>
      <c r="BD39" s="34" t="s">
        <v>639</v>
      </c>
      <c r="BE39" s="34">
        <v>69</v>
      </c>
      <c r="BF39" s="34">
        <v>81</v>
      </c>
      <c r="BG39" s="34">
        <v>80</v>
      </c>
      <c r="BH39" s="34">
        <v>28</v>
      </c>
      <c r="BI39" s="34">
        <v>18</v>
      </c>
      <c r="BJ39" s="35">
        <f>BE39+BF39+BG39+BH39+BI39</f>
        <v>276</v>
      </c>
      <c r="BL39" s="34">
        <v>364</v>
      </c>
      <c r="BM39" s="34" t="s">
        <v>644</v>
      </c>
      <c r="BN39" s="34">
        <v>55</v>
      </c>
      <c r="BO39" s="34">
        <v>76</v>
      </c>
      <c r="BP39" s="34">
        <v>16</v>
      </c>
      <c r="BQ39" s="34">
        <v>3</v>
      </c>
      <c r="BR39" s="34">
        <v>30</v>
      </c>
      <c r="BS39" s="35">
        <f>BN39+BO39+BP39+BQ39+BR39</f>
        <v>180</v>
      </c>
      <c r="BU39" s="34">
        <v>416</v>
      </c>
      <c r="BV39" s="34" t="s">
        <v>640</v>
      </c>
      <c r="BW39" s="34">
        <v>87</v>
      </c>
      <c r="BX39" s="34">
        <v>31</v>
      </c>
      <c r="BY39" s="34">
        <v>46</v>
      </c>
      <c r="BZ39" s="34">
        <v>39</v>
      </c>
      <c r="CA39" s="34">
        <v>79</v>
      </c>
      <c r="CB39" s="35">
        <f>BW39+BX39+BY39+BZ39+CA39</f>
        <v>282</v>
      </c>
    </row>
    <row r="40" spans="10:80" ht="18" customHeight="1" x14ac:dyDescent="0.2">
      <c r="J40" s="36">
        <v>52</v>
      </c>
      <c r="K40" s="36" t="s">
        <v>646</v>
      </c>
      <c r="L40" s="36">
        <v>67</v>
      </c>
      <c r="M40" s="36">
        <v>66</v>
      </c>
      <c r="N40" s="36">
        <v>52</v>
      </c>
      <c r="O40" s="36">
        <v>71</v>
      </c>
      <c r="P40" s="36">
        <v>12</v>
      </c>
      <c r="Q40" s="35">
        <f>L40+M40+N40+O40+P40</f>
        <v>268</v>
      </c>
      <c r="S40" s="36">
        <v>104</v>
      </c>
      <c r="T40" s="36" t="s">
        <v>647</v>
      </c>
      <c r="U40" s="36">
        <v>64</v>
      </c>
      <c r="V40" s="36">
        <v>49</v>
      </c>
      <c r="W40" s="36">
        <v>14</v>
      </c>
      <c r="X40" s="36">
        <v>25</v>
      </c>
      <c r="Y40" s="36">
        <v>24</v>
      </c>
      <c r="Z40" s="35">
        <f>U40+V40+W40+X40+Y40</f>
        <v>176</v>
      </c>
      <c r="AB40" s="36">
        <v>156</v>
      </c>
      <c r="AC40" s="36" t="s">
        <v>648</v>
      </c>
      <c r="AD40" s="36">
        <v>5</v>
      </c>
      <c r="AE40" s="36">
        <v>2</v>
      </c>
      <c r="AF40" s="36">
        <v>8</v>
      </c>
      <c r="AG40" s="36">
        <v>32</v>
      </c>
      <c r="AH40" s="36">
        <v>72</v>
      </c>
      <c r="AI40" s="35">
        <f>AD40+AE40+AF40+AG40+AH40</f>
        <v>119</v>
      </c>
      <c r="AK40" s="36">
        <v>208</v>
      </c>
      <c r="AL40" s="36" t="s">
        <v>649</v>
      </c>
      <c r="AM40" s="36">
        <v>65</v>
      </c>
      <c r="AN40" s="36">
        <v>1</v>
      </c>
      <c r="AO40" s="36">
        <v>72</v>
      </c>
      <c r="AP40" s="36">
        <v>81</v>
      </c>
      <c r="AQ40" s="36">
        <v>2</v>
      </c>
      <c r="AR40" s="35">
        <f>AM40+AN40+AO40+AP40+AQ40</f>
        <v>221</v>
      </c>
      <c r="AT40" s="36">
        <v>261</v>
      </c>
      <c r="AU40" s="36" t="s">
        <v>650</v>
      </c>
      <c r="AV40" s="36">
        <v>19</v>
      </c>
      <c r="AW40" s="36">
        <v>44</v>
      </c>
      <c r="AX40" s="36">
        <v>5</v>
      </c>
      <c r="AY40" s="36">
        <v>31</v>
      </c>
      <c r="AZ40" s="36">
        <v>15</v>
      </c>
      <c r="BA40" s="35">
        <f>AV40+AW40+AX40+AY40+AZ40</f>
        <v>114</v>
      </c>
      <c r="BC40" s="36">
        <v>313</v>
      </c>
      <c r="BD40" s="36" t="s">
        <v>646</v>
      </c>
      <c r="BE40" s="36">
        <v>78</v>
      </c>
      <c r="BF40" s="36">
        <v>9</v>
      </c>
      <c r="BG40" s="36">
        <v>3</v>
      </c>
      <c r="BH40" s="36">
        <v>85</v>
      </c>
      <c r="BI40" s="36">
        <v>75</v>
      </c>
      <c r="BJ40" s="35">
        <f>BE40+BF40+BG40+BH40+BI40</f>
        <v>250</v>
      </c>
      <c r="BL40" s="36">
        <v>365</v>
      </c>
      <c r="BM40" s="36" t="s">
        <v>651</v>
      </c>
      <c r="BN40" s="36">
        <v>55</v>
      </c>
      <c r="BO40" s="36">
        <v>69</v>
      </c>
      <c r="BP40" s="36">
        <v>64</v>
      </c>
      <c r="BQ40" s="36">
        <v>44</v>
      </c>
      <c r="BR40" s="36">
        <v>81</v>
      </c>
      <c r="BS40" s="35">
        <f>BN40+BO40+BP40+BQ40+BR40</f>
        <v>313</v>
      </c>
      <c r="BU40" s="36">
        <v>417</v>
      </c>
      <c r="BV40" s="36" t="s">
        <v>647</v>
      </c>
      <c r="BW40" s="36">
        <v>41</v>
      </c>
      <c r="BX40" s="36">
        <v>33</v>
      </c>
      <c r="BY40" s="36">
        <v>46</v>
      </c>
      <c r="BZ40" s="36">
        <v>39</v>
      </c>
      <c r="CA40" s="36">
        <v>9</v>
      </c>
      <c r="CB40" s="35">
        <f>BW40+BX40+BY40+BZ40+CA40</f>
        <v>168</v>
      </c>
    </row>
    <row r="41" spans="10:80" ht="18" customHeight="1" x14ac:dyDescent="0.2">
      <c r="J41" s="34">
        <v>53</v>
      </c>
      <c r="K41" s="34" t="s">
        <v>653</v>
      </c>
      <c r="L41" s="34">
        <v>20</v>
      </c>
      <c r="M41" s="34">
        <v>18</v>
      </c>
      <c r="N41" s="34">
        <v>85</v>
      </c>
      <c r="O41" s="34">
        <v>60</v>
      </c>
      <c r="P41" s="34">
        <v>12</v>
      </c>
      <c r="Q41" s="35">
        <f>L41+M41+N41+O41+P41</f>
        <v>195</v>
      </c>
      <c r="S41" s="34">
        <v>105</v>
      </c>
      <c r="T41" s="34" t="s">
        <v>654</v>
      </c>
      <c r="U41" s="34">
        <v>13</v>
      </c>
      <c r="V41" s="34">
        <v>87</v>
      </c>
      <c r="W41" s="34">
        <v>45</v>
      </c>
      <c r="X41" s="34">
        <v>53</v>
      </c>
      <c r="Y41" s="34">
        <v>79</v>
      </c>
      <c r="Z41" s="35">
        <f>U41+V41+W41+X41+Y41</f>
        <v>277</v>
      </c>
      <c r="AB41" s="34">
        <v>157</v>
      </c>
      <c r="AC41" s="34" t="s">
        <v>655</v>
      </c>
      <c r="AD41" s="34">
        <v>77</v>
      </c>
      <c r="AE41" s="34">
        <v>11</v>
      </c>
      <c r="AF41" s="34">
        <v>40</v>
      </c>
      <c r="AG41" s="34">
        <v>64</v>
      </c>
      <c r="AH41" s="34">
        <v>58</v>
      </c>
      <c r="AI41" s="35">
        <f>AD41+AE41+AF41+AG41+AH41</f>
        <v>250</v>
      </c>
      <c r="AK41" s="34">
        <v>209</v>
      </c>
      <c r="AL41" s="34" t="s">
        <v>656</v>
      </c>
      <c r="AM41" s="34">
        <v>72</v>
      </c>
      <c r="AN41" s="34">
        <v>45</v>
      </c>
      <c r="AO41" s="34">
        <v>57</v>
      </c>
      <c r="AP41" s="34">
        <v>69</v>
      </c>
      <c r="AQ41" s="34">
        <v>87</v>
      </c>
      <c r="AR41" s="35">
        <f>AM41+AN41+AO41+AP41+AQ41</f>
        <v>330</v>
      </c>
      <c r="AT41" s="34">
        <v>262</v>
      </c>
      <c r="AU41" s="34" t="s">
        <v>657</v>
      </c>
      <c r="AV41" s="34">
        <v>20</v>
      </c>
      <c r="AW41" s="34">
        <v>12</v>
      </c>
      <c r="AX41" s="34">
        <v>53</v>
      </c>
      <c r="AY41" s="34">
        <v>61</v>
      </c>
      <c r="AZ41" s="34">
        <v>63</v>
      </c>
      <c r="BA41" s="35">
        <f>AV41+AW41+AX41+AY41+AZ41</f>
        <v>209</v>
      </c>
      <c r="BC41" s="34">
        <v>314</v>
      </c>
      <c r="BD41" s="34" t="s">
        <v>653</v>
      </c>
      <c r="BE41" s="34">
        <v>81</v>
      </c>
      <c r="BF41" s="34">
        <v>7</v>
      </c>
      <c r="BG41" s="34">
        <v>89</v>
      </c>
      <c r="BH41" s="34">
        <v>15</v>
      </c>
      <c r="BI41" s="34">
        <v>59</v>
      </c>
      <c r="BJ41" s="35">
        <f>BE41+BF41+BG41+BH41+BI41</f>
        <v>251</v>
      </c>
      <c r="BL41" s="34">
        <v>366</v>
      </c>
      <c r="BM41" s="34" t="s">
        <v>658</v>
      </c>
      <c r="BN41" s="34">
        <v>69</v>
      </c>
      <c r="BO41" s="34">
        <v>87</v>
      </c>
      <c r="BP41" s="34">
        <v>75</v>
      </c>
      <c r="BQ41" s="34">
        <v>83</v>
      </c>
      <c r="BR41" s="34">
        <v>60</v>
      </c>
      <c r="BS41" s="35">
        <f>BN41+BO41+BP41+BQ41+BR41</f>
        <v>374</v>
      </c>
      <c r="BU41" s="34">
        <v>418</v>
      </c>
      <c r="BV41" s="34" t="s">
        <v>654</v>
      </c>
      <c r="BW41" s="34">
        <v>39</v>
      </c>
      <c r="BX41" s="34">
        <v>31</v>
      </c>
      <c r="BY41" s="34">
        <v>61</v>
      </c>
      <c r="BZ41" s="34">
        <v>59</v>
      </c>
      <c r="CA41" s="34">
        <v>28</v>
      </c>
      <c r="CB41" s="35">
        <f>BW41+BX41+BY41+BZ41+CA41</f>
        <v>218</v>
      </c>
    </row>
    <row r="42" spans="10:80" ht="18" customHeight="1" x14ac:dyDescent="0.2">
      <c r="J42" s="36">
        <v>54</v>
      </c>
      <c r="K42" s="36" t="s">
        <v>659</v>
      </c>
      <c r="L42" s="36">
        <v>89</v>
      </c>
      <c r="M42" s="36">
        <v>54</v>
      </c>
      <c r="N42" s="36">
        <v>37</v>
      </c>
      <c r="O42" s="36">
        <v>68</v>
      </c>
      <c r="P42" s="36">
        <v>22</v>
      </c>
      <c r="Q42" s="35">
        <f>L42+M42+N42+O42+P42</f>
        <v>270</v>
      </c>
      <c r="S42" s="36">
        <v>106</v>
      </c>
      <c r="T42" s="36" t="s">
        <v>660</v>
      </c>
      <c r="U42" s="36">
        <v>22</v>
      </c>
      <c r="V42" s="36">
        <v>71</v>
      </c>
      <c r="W42" s="36">
        <v>65</v>
      </c>
      <c r="X42" s="36">
        <v>42</v>
      </c>
      <c r="Y42" s="36">
        <v>34</v>
      </c>
      <c r="Z42" s="35">
        <f>U42+V42+W42+X42+Y42</f>
        <v>234</v>
      </c>
      <c r="AB42" s="36">
        <v>158</v>
      </c>
      <c r="AC42" s="36" t="s">
        <v>661</v>
      </c>
      <c r="AD42" s="36">
        <v>80</v>
      </c>
      <c r="AE42" s="36">
        <v>68</v>
      </c>
      <c r="AF42" s="36">
        <v>14</v>
      </c>
      <c r="AG42" s="36">
        <v>19</v>
      </c>
      <c r="AH42" s="36">
        <v>89</v>
      </c>
      <c r="AI42" s="35">
        <f>AD42+AE42+AF42+AG42+AH42</f>
        <v>270</v>
      </c>
      <c r="AK42" s="36">
        <v>210</v>
      </c>
      <c r="AL42" s="36" t="s">
        <v>662</v>
      </c>
      <c r="AM42" s="36">
        <v>76</v>
      </c>
      <c r="AN42" s="36">
        <v>33</v>
      </c>
      <c r="AO42" s="36">
        <v>31</v>
      </c>
      <c r="AP42" s="36">
        <v>80</v>
      </c>
      <c r="AQ42" s="36">
        <v>19</v>
      </c>
      <c r="AR42" s="35">
        <f>AM42+AN42+AO42+AP42+AQ42</f>
        <v>239</v>
      </c>
      <c r="AT42" s="36">
        <v>263</v>
      </c>
      <c r="AU42" s="36" t="s">
        <v>663</v>
      </c>
      <c r="AV42" s="36">
        <v>60</v>
      </c>
      <c r="AW42" s="36">
        <v>84</v>
      </c>
      <c r="AX42" s="36">
        <v>57</v>
      </c>
      <c r="AY42" s="36">
        <v>12</v>
      </c>
      <c r="AZ42" s="36">
        <v>54</v>
      </c>
      <c r="BA42" s="35">
        <f>AV42+AW42+AX42+AY42+AZ42</f>
        <v>267</v>
      </c>
      <c r="BC42" s="36">
        <v>315</v>
      </c>
      <c r="BD42" s="36" t="s">
        <v>659</v>
      </c>
      <c r="BE42" s="36">
        <v>65</v>
      </c>
      <c r="BF42" s="36">
        <v>19</v>
      </c>
      <c r="BG42" s="36">
        <v>48</v>
      </c>
      <c r="BH42" s="36">
        <v>49</v>
      </c>
      <c r="BI42" s="36">
        <v>58</v>
      </c>
      <c r="BJ42" s="35">
        <f>BE42+BF42+BG42+BH42+BI42</f>
        <v>239</v>
      </c>
      <c r="BL42" s="36">
        <v>367</v>
      </c>
      <c r="BM42" s="36" t="s">
        <v>664</v>
      </c>
      <c r="BN42" s="36">
        <v>25</v>
      </c>
      <c r="BO42" s="36">
        <v>6</v>
      </c>
      <c r="BP42" s="36">
        <v>31</v>
      </c>
      <c r="BQ42" s="36">
        <v>66</v>
      </c>
      <c r="BR42" s="36">
        <v>70</v>
      </c>
      <c r="BS42" s="35">
        <f>BN42+BO42+BP42+BQ42+BR42</f>
        <v>198</v>
      </c>
      <c r="BU42" s="36">
        <v>419</v>
      </c>
      <c r="BV42" s="36" t="s">
        <v>665</v>
      </c>
      <c r="BW42" s="36">
        <v>38</v>
      </c>
      <c r="BX42" s="36">
        <v>58</v>
      </c>
      <c r="BY42" s="36">
        <v>60</v>
      </c>
      <c r="BZ42" s="36">
        <v>39</v>
      </c>
      <c r="CA42" s="36">
        <v>44</v>
      </c>
      <c r="CB42" s="35">
        <f>BW42+BX42+BY42+BZ42+CA42</f>
        <v>239</v>
      </c>
    </row>
    <row r="43" spans="10:80" ht="18" customHeight="1" x14ac:dyDescent="0.2">
      <c r="J43" s="34">
        <v>55</v>
      </c>
      <c r="K43" s="34" t="s">
        <v>666</v>
      </c>
      <c r="L43" s="34">
        <v>23</v>
      </c>
      <c r="M43" s="34">
        <v>47</v>
      </c>
      <c r="N43" s="34">
        <v>50</v>
      </c>
      <c r="O43" s="34">
        <v>60</v>
      </c>
      <c r="P43" s="34">
        <v>20</v>
      </c>
      <c r="Q43" s="35">
        <f>L43+M43+N43+O43+P43</f>
        <v>200</v>
      </c>
      <c r="S43" s="34">
        <v>107</v>
      </c>
      <c r="T43" s="34" t="s">
        <v>667</v>
      </c>
      <c r="U43" s="34">
        <v>89</v>
      </c>
      <c r="V43" s="34">
        <v>61</v>
      </c>
      <c r="W43" s="34">
        <v>53</v>
      </c>
      <c r="X43" s="34">
        <v>51</v>
      </c>
      <c r="Y43" s="34">
        <v>86</v>
      </c>
      <c r="Z43" s="35">
        <f>U43+V43+W43+X43+Y43</f>
        <v>340</v>
      </c>
      <c r="AB43" s="34">
        <v>159</v>
      </c>
      <c r="AC43" s="34" t="s">
        <v>668</v>
      </c>
      <c r="AD43" s="34">
        <v>15</v>
      </c>
      <c r="AE43" s="34">
        <v>46</v>
      </c>
      <c r="AF43" s="34">
        <v>13</v>
      </c>
      <c r="AG43" s="34">
        <v>55</v>
      </c>
      <c r="AH43" s="34">
        <v>22</v>
      </c>
      <c r="AI43" s="35">
        <f>AD43+AE43+AF43+AG43+AH43</f>
        <v>151</v>
      </c>
      <c r="AK43" s="34">
        <v>211</v>
      </c>
      <c r="AL43" s="34" t="s">
        <v>669</v>
      </c>
      <c r="AM43" s="34">
        <v>34</v>
      </c>
      <c r="AN43" s="34">
        <v>86</v>
      </c>
      <c r="AO43" s="34">
        <v>42</v>
      </c>
      <c r="AP43" s="34">
        <v>62</v>
      </c>
      <c r="AQ43" s="34">
        <v>3</v>
      </c>
      <c r="AR43" s="35">
        <f>AM43+AN43+AO43+AP43+AQ43</f>
        <v>227</v>
      </c>
      <c r="AT43" s="34">
        <v>264</v>
      </c>
      <c r="AU43" s="34" t="s">
        <v>670</v>
      </c>
      <c r="AV43" s="34">
        <v>26</v>
      </c>
      <c r="AW43" s="34">
        <v>10</v>
      </c>
      <c r="AX43" s="34">
        <v>52</v>
      </c>
      <c r="AY43" s="34">
        <v>69</v>
      </c>
      <c r="AZ43" s="34">
        <v>78</v>
      </c>
      <c r="BA43" s="35">
        <f>AV43+AW43+AX43+AY43+AZ43</f>
        <v>235</v>
      </c>
      <c r="BC43" s="34">
        <v>316</v>
      </c>
      <c r="BD43" s="34" t="s">
        <v>666</v>
      </c>
      <c r="BE43" s="34">
        <v>23</v>
      </c>
      <c r="BF43" s="34">
        <v>20</v>
      </c>
      <c r="BG43" s="34">
        <v>57</v>
      </c>
      <c r="BH43" s="34">
        <v>88</v>
      </c>
      <c r="BI43" s="34">
        <v>70</v>
      </c>
      <c r="BJ43" s="35">
        <f>BE43+BF43+BG43+BH43+BI43</f>
        <v>258</v>
      </c>
      <c r="BL43" s="34">
        <v>368</v>
      </c>
      <c r="BM43" s="34" t="s">
        <v>671</v>
      </c>
      <c r="BN43" s="34">
        <v>71</v>
      </c>
      <c r="BO43" s="34">
        <v>84</v>
      </c>
      <c r="BP43" s="34">
        <v>83</v>
      </c>
      <c r="BQ43" s="34">
        <v>73</v>
      </c>
      <c r="BR43" s="34">
        <v>33</v>
      </c>
      <c r="BS43" s="35">
        <f>BN43+BO43+BP43+BQ43+BR43</f>
        <v>344</v>
      </c>
      <c r="BU43" s="34">
        <v>420</v>
      </c>
      <c r="BV43" s="34" t="s">
        <v>667</v>
      </c>
      <c r="BW43" s="34">
        <v>25</v>
      </c>
      <c r="BX43" s="34">
        <v>83</v>
      </c>
      <c r="BY43" s="34">
        <v>28</v>
      </c>
      <c r="BZ43" s="34">
        <v>1</v>
      </c>
      <c r="CA43" s="34">
        <v>2</v>
      </c>
      <c r="CB43" s="35">
        <f>BW43+BX43+BY43+BZ43+CA43</f>
        <v>139</v>
      </c>
    </row>
    <row r="44" spans="10:80" ht="18" customHeight="1" x14ac:dyDescent="0.2">
      <c r="J44" s="36">
        <v>56</v>
      </c>
      <c r="K44" s="36" t="s">
        <v>672</v>
      </c>
      <c r="L44" s="36">
        <v>22</v>
      </c>
      <c r="M44" s="36">
        <v>61</v>
      </c>
      <c r="N44" s="36">
        <v>34</v>
      </c>
      <c r="O44" s="36">
        <v>81</v>
      </c>
      <c r="P44" s="36">
        <v>74</v>
      </c>
      <c r="Q44" s="35">
        <f>L44+M44+N44+O44+P44</f>
        <v>272</v>
      </c>
      <c r="S44" s="36">
        <v>108</v>
      </c>
      <c r="T44" s="36" t="s">
        <v>673</v>
      </c>
      <c r="U44" s="36">
        <v>56</v>
      </c>
      <c r="V44" s="36">
        <v>11</v>
      </c>
      <c r="W44" s="36">
        <v>73</v>
      </c>
      <c r="X44" s="36">
        <v>25</v>
      </c>
      <c r="Y44" s="36">
        <v>50</v>
      </c>
      <c r="Z44" s="35">
        <f>U44+V44+W44+X44+Y44</f>
        <v>215</v>
      </c>
      <c r="AB44" s="36">
        <v>160</v>
      </c>
      <c r="AC44" s="36" t="s">
        <v>674</v>
      </c>
      <c r="AD44" s="36">
        <v>74</v>
      </c>
      <c r="AE44" s="36">
        <v>35</v>
      </c>
      <c r="AF44" s="36">
        <v>59</v>
      </c>
      <c r="AG44" s="36">
        <v>52</v>
      </c>
      <c r="AH44" s="36">
        <v>63</v>
      </c>
      <c r="AI44" s="35">
        <f>AD44+AE44+AF44+AG44+AH44</f>
        <v>283</v>
      </c>
      <c r="AK44" s="36">
        <v>212</v>
      </c>
      <c r="AL44" s="36" t="s">
        <v>675</v>
      </c>
      <c r="AM44" s="36">
        <v>68</v>
      </c>
      <c r="AN44" s="36">
        <v>44</v>
      </c>
      <c r="AO44" s="36">
        <v>29</v>
      </c>
      <c r="AP44" s="36">
        <v>16</v>
      </c>
      <c r="AQ44" s="36">
        <v>74</v>
      </c>
      <c r="AR44" s="35">
        <f>AM44+AN44+AO44+AP44+AQ44</f>
        <v>231</v>
      </c>
      <c r="AT44" s="36">
        <v>265</v>
      </c>
      <c r="AU44" s="36" t="s">
        <v>676</v>
      </c>
      <c r="AV44" s="36">
        <v>72</v>
      </c>
      <c r="AW44" s="36">
        <v>28</v>
      </c>
      <c r="AX44" s="36">
        <v>75</v>
      </c>
      <c r="AY44" s="36">
        <v>66</v>
      </c>
      <c r="AZ44" s="36">
        <v>22</v>
      </c>
      <c r="BA44" s="35">
        <f>AV44+AW44+AX44+AY44+AZ44</f>
        <v>263</v>
      </c>
      <c r="BC44" s="36">
        <v>317</v>
      </c>
      <c r="BD44" s="36" t="s">
        <v>672</v>
      </c>
      <c r="BE44" s="36">
        <v>36</v>
      </c>
      <c r="BF44" s="36">
        <v>60</v>
      </c>
      <c r="BG44" s="36">
        <v>70</v>
      </c>
      <c r="BH44" s="36">
        <v>27</v>
      </c>
      <c r="BI44" s="36">
        <v>23</v>
      </c>
      <c r="BJ44" s="35">
        <f>BE44+BF44+BG44+BH44+BI44</f>
        <v>216</v>
      </c>
      <c r="BL44" s="36">
        <v>369</v>
      </c>
      <c r="BM44" s="36" t="s">
        <v>677</v>
      </c>
      <c r="BN44" s="36">
        <v>51</v>
      </c>
      <c r="BO44" s="36">
        <v>31</v>
      </c>
      <c r="BP44" s="36">
        <v>32</v>
      </c>
      <c r="BQ44" s="36">
        <v>9</v>
      </c>
      <c r="BR44" s="36">
        <v>87</v>
      </c>
      <c r="BS44" s="35">
        <f>BN44+BO44+BP44+BQ44+BR44</f>
        <v>210</v>
      </c>
      <c r="BU44" s="36">
        <v>421</v>
      </c>
      <c r="BV44" s="36" t="s">
        <v>673</v>
      </c>
      <c r="BW44" s="36">
        <v>47</v>
      </c>
      <c r="BX44" s="36">
        <v>46</v>
      </c>
      <c r="BY44" s="36">
        <v>7</v>
      </c>
      <c r="BZ44" s="36">
        <v>87</v>
      </c>
      <c r="CA44" s="36">
        <v>79</v>
      </c>
      <c r="CB44" s="35">
        <f>BW44+BX44+BY44+BZ44+CA44</f>
        <v>266</v>
      </c>
    </row>
    <row r="45" spans="10:80" ht="18" customHeight="1" x14ac:dyDescent="0.2">
      <c r="J45" s="34">
        <v>57</v>
      </c>
      <c r="K45" s="34" t="s">
        <v>678</v>
      </c>
      <c r="L45" s="34">
        <v>26</v>
      </c>
      <c r="M45" s="34">
        <v>30</v>
      </c>
      <c r="N45" s="34">
        <v>76</v>
      </c>
      <c r="O45" s="34">
        <v>6</v>
      </c>
      <c r="P45" s="34">
        <v>56</v>
      </c>
      <c r="Q45" s="35">
        <f>L45+M45+N45+O45+P45</f>
        <v>194</v>
      </c>
      <c r="S45" s="34">
        <v>109</v>
      </c>
      <c r="T45" s="34" t="s">
        <v>679</v>
      </c>
      <c r="U45" s="34">
        <v>63</v>
      </c>
      <c r="V45" s="34">
        <v>34</v>
      </c>
      <c r="W45" s="34">
        <v>66</v>
      </c>
      <c r="X45" s="34">
        <v>78</v>
      </c>
      <c r="Y45" s="34">
        <v>64</v>
      </c>
      <c r="Z45" s="35">
        <f>U45+V45+W45+X45+Y45</f>
        <v>305</v>
      </c>
      <c r="AB45" s="34">
        <v>161</v>
      </c>
      <c r="AC45" s="34" t="s">
        <v>680</v>
      </c>
      <c r="AD45" s="34">
        <v>18</v>
      </c>
      <c r="AE45" s="34">
        <v>39</v>
      </c>
      <c r="AF45" s="34">
        <v>11</v>
      </c>
      <c r="AG45" s="34">
        <v>30</v>
      </c>
      <c r="AH45" s="34">
        <v>90</v>
      </c>
      <c r="AI45" s="35">
        <f>AD45+AE45+AF45+AG45+AH45</f>
        <v>188</v>
      </c>
      <c r="AK45" s="34">
        <v>213</v>
      </c>
      <c r="AL45" s="34" t="s">
        <v>681</v>
      </c>
      <c r="AM45" s="34">
        <v>46</v>
      </c>
      <c r="AN45" s="34">
        <v>85</v>
      </c>
      <c r="AO45" s="34">
        <v>38</v>
      </c>
      <c r="AP45" s="34">
        <v>90</v>
      </c>
      <c r="AQ45" s="34">
        <v>88</v>
      </c>
      <c r="AR45" s="35">
        <f>AM45+AN45+AO45+AP45+AQ45</f>
        <v>347</v>
      </c>
      <c r="AT45" s="34">
        <v>266</v>
      </c>
      <c r="AU45" s="34" t="s">
        <v>682</v>
      </c>
      <c r="AV45" s="34">
        <v>89</v>
      </c>
      <c r="AW45" s="34">
        <v>12</v>
      </c>
      <c r="AX45" s="34">
        <v>14</v>
      </c>
      <c r="AY45" s="34">
        <v>46</v>
      </c>
      <c r="AZ45" s="34">
        <v>55</v>
      </c>
      <c r="BA45" s="35">
        <f>AV45+AW45+AX45+AY45+AZ45</f>
        <v>216</v>
      </c>
      <c r="BC45" s="34">
        <v>318</v>
      </c>
      <c r="BD45" s="34" t="s">
        <v>678</v>
      </c>
      <c r="BE45" s="34">
        <v>81</v>
      </c>
      <c r="BF45" s="34">
        <v>80</v>
      </c>
      <c r="BG45" s="34">
        <v>30</v>
      </c>
      <c r="BH45" s="34">
        <v>47</v>
      </c>
      <c r="BI45" s="34">
        <v>84</v>
      </c>
      <c r="BJ45" s="35">
        <f>BE45+BF45+BG45+BH45+BI45</f>
        <v>322</v>
      </c>
      <c r="BL45" s="34">
        <v>370</v>
      </c>
      <c r="BM45" s="34" t="s">
        <v>683</v>
      </c>
      <c r="BN45" s="34">
        <v>1</v>
      </c>
      <c r="BO45" s="34">
        <v>2</v>
      </c>
      <c r="BP45" s="34">
        <v>81</v>
      </c>
      <c r="BQ45" s="34">
        <v>11</v>
      </c>
      <c r="BR45" s="34">
        <v>84</v>
      </c>
      <c r="BS45" s="35">
        <f>BN45+BO45+BP45+BQ45+BR45</f>
        <v>179</v>
      </c>
      <c r="BU45" s="34">
        <v>422</v>
      </c>
      <c r="BV45" s="34" t="s">
        <v>679</v>
      </c>
      <c r="BW45" s="34">
        <v>81</v>
      </c>
      <c r="BX45" s="34">
        <v>41</v>
      </c>
      <c r="BY45" s="34">
        <v>61</v>
      </c>
      <c r="BZ45" s="34">
        <v>44</v>
      </c>
      <c r="CA45" s="34">
        <v>86</v>
      </c>
      <c r="CB45" s="35">
        <f>BW45+BX45+BY45+BZ45+CA45</f>
        <v>313</v>
      </c>
    </row>
    <row r="46" spans="10:80" ht="18" customHeight="1" x14ac:dyDescent="0.2">
      <c r="J46" s="36">
        <v>58</v>
      </c>
      <c r="K46" s="36" t="s">
        <v>684</v>
      </c>
      <c r="L46" s="36">
        <v>70</v>
      </c>
      <c r="M46" s="36">
        <v>34</v>
      </c>
      <c r="N46" s="36">
        <v>69</v>
      </c>
      <c r="O46" s="36">
        <v>23</v>
      </c>
      <c r="P46" s="36">
        <v>32</v>
      </c>
      <c r="Q46" s="35">
        <f>L46+M46+N46+O46+P46</f>
        <v>228</v>
      </c>
      <c r="S46" s="36">
        <v>110</v>
      </c>
      <c r="T46" s="36" t="s">
        <v>685</v>
      </c>
      <c r="U46" s="36">
        <v>82</v>
      </c>
      <c r="V46" s="36">
        <v>35</v>
      </c>
      <c r="W46" s="36">
        <v>12</v>
      </c>
      <c r="X46" s="36">
        <v>16</v>
      </c>
      <c r="Y46" s="36">
        <v>40</v>
      </c>
      <c r="Z46" s="35">
        <f>U46+V46+W46+X46+Y46</f>
        <v>185</v>
      </c>
      <c r="AB46" s="36">
        <v>162</v>
      </c>
      <c r="AC46" s="36" t="s">
        <v>660</v>
      </c>
      <c r="AD46" s="36">
        <v>32</v>
      </c>
      <c r="AE46" s="36">
        <v>45</v>
      </c>
      <c r="AF46" s="36">
        <v>66</v>
      </c>
      <c r="AG46" s="36">
        <v>20</v>
      </c>
      <c r="AH46" s="36">
        <v>19</v>
      </c>
      <c r="AI46" s="35">
        <f>AD46+AE46+AF46+AG46+AH46</f>
        <v>182</v>
      </c>
      <c r="AK46" s="36">
        <v>214</v>
      </c>
      <c r="AL46" s="36" t="s">
        <v>686</v>
      </c>
      <c r="AM46" s="36">
        <v>2</v>
      </c>
      <c r="AN46" s="36">
        <v>71</v>
      </c>
      <c r="AO46" s="36">
        <v>30</v>
      </c>
      <c r="AP46" s="36">
        <v>77</v>
      </c>
      <c r="AQ46" s="36">
        <v>29</v>
      </c>
      <c r="AR46" s="35">
        <f>AM46+AN46+AO46+AP46+AQ46</f>
        <v>209</v>
      </c>
      <c r="AT46" s="36">
        <v>267</v>
      </c>
      <c r="AU46" s="36" t="s">
        <v>687</v>
      </c>
      <c r="AV46" s="36">
        <v>90</v>
      </c>
      <c r="AW46" s="36">
        <v>13</v>
      </c>
      <c r="AX46" s="36">
        <v>14</v>
      </c>
      <c r="AY46" s="36">
        <v>84</v>
      </c>
      <c r="AZ46" s="36">
        <v>71</v>
      </c>
      <c r="BA46" s="35">
        <f>AV46+AW46+AX46+AY46+AZ46</f>
        <v>272</v>
      </c>
      <c r="BC46" s="36">
        <v>319</v>
      </c>
      <c r="BD46" s="36" t="s">
        <v>684</v>
      </c>
      <c r="BE46" s="36">
        <v>14</v>
      </c>
      <c r="BF46" s="36">
        <v>88</v>
      </c>
      <c r="BG46" s="36">
        <v>38</v>
      </c>
      <c r="BH46" s="36">
        <v>89</v>
      </c>
      <c r="BI46" s="36">
        <v>41</v>
      </c>
      <c r="BJ46" s="35">
        <f>BE46+BF46+BG46+BH46+BI46</f>
        <v>270</v>
      </c>
      <c r="BL46" s="36">
        <v>371</v>
      </c>
      <c r="BM46" s="36" t="s">
        <v>688</v>
      </c>
      <c r="BN46" s="36">
        <v>41</v>
      </c>
      <c r="BO46" s="36">
        <v>78</v>
      </c>
      <c r="BP46" s="36">
        <v>58</v>
      </c>
      <c r="BQ46" s="36">
        <v>12</v>
      </c>
      <c r="BR46" s="36">
        <v>1</v>
      </c>
      <c r="BS46" s="35">
        <f>BN46+BO46+BP46+BQ46+BR46</f>
        <v>190</v>
      </c>
      <c r="BU46" s="36">
        <v>423</v>
      </c>
      <c r="BV46" s="36" t="s">
        <v>685</v>
      </c>
      <c r="BW46" s="36">
        <v>37</v>
      </c>
      <c r="BX46" s="36">
        <v>34</v>
      </c>
      <c r="BY46" s="36">
        <v>51</v>
      </c>
      <c r="BZ46" s="36">
        <v>61</v>
      </c>
      <c r="CA46" s="36">
        <v>15</v>
      </c>
      <c r="CB46" s="35">
        <f>BW46+BX46+BY46+BZ46+CA46</f>
        <v>198</v>
      </c>
    </row>
    <row r="47" spans="10:80" ht="18" customHeight="1" x14ac:dyDescent="0.2">
      <c r="J47" s="34">
        <v>59</v>
      </c>
      <c r="K47" s="34" t="s">
        <v>689</v>
      </c>
      <c r="L47" s="34">
        <v>57</v>
      </c>
      <c r="M47" s="34">
        <v>18</v>
      </c>
      <c r="N47" s="34">
        <v>24</v>
      </c>
      <c r="O47" s="34">
        <v>62</v>
      </c>
      <c r="P47" s="34">
        <v>16</v>
      </c>
      <c r="Q47" s="35">
        <f>L47+M47+N47+O47+P47</f>
        <v>177</v>
      </c>
      <c r="S47" s="34">
        <v>111</v>
      </c>
      <c r="T47" s="34" t="s">
        <v>690</v>
      </c>
      <c r="U47" s="34">
        <v>26</v>
      </c>
      <c r="V47" s="34">
        <v>82</v>
      </c>
      <c r="W47" s="34">
        <v>63</v>
      </c>
      <c r="X47" s="34">
        <v>90</v>
      </c>
      <c r="Y47" s="34">
        <v>53</v>
      </c>
      <c r="Z47" s="35">
        <f>U47+V47+W47+X47+Y47</f>
        <v>314</v>
      </c>
      <c r="AB47" s="34">
        <v>163</v>
      </c>
      <c r="AC47" s="34" t="s">
        <v>691</v>
      </c>
      <c r="AD47" s="34">
        <v>72</v>
      </c>
      <c r="AE47" s="34">
        <v>73</v>
      </c>
      <c r="AF47" s="34">
        <v>8</v>
      </c>
      <c r="AG47" s="34">
        <v>21</v>
      </c>
      <c r="AH47" s="34">
        <v>48</v>
      </c>
      <c r="AI47" s="35">
        <f>AD47+AE47+AF47+AG47+AH47</f>
        <v>222</v>
      </c>
      <c r="AK47" s="34">
        <v>215</v>
      </c>
      <c r="AL47" s="34" t="s">
        <v>692</v>
      </c>
      <c r="AM47" s="34">
        <v>36</v>
      </c>
      <c r="AN47" s="34">
        <v>69</v>
      </c>
      <c r="AO47" s="34">
        <v>71</v>
      </c>
      <c r="AP47" s="34">
        <v>65</v>
      </c>
      <c r="AQ47" s="34">
        <v>80</v>
      </c>
      <c r="AR47" s="35">
        <f>AM47+AN47+AO47+AP47+AQ47</f>
        <v>321</v>
      </c>
      <c r="AT47" s="34">
        <v>268</v>
      </c>
      <c r="AU47" s="34" t="s">
        <v>693</v>
      </c>
      <c r="AV47" s="34">
        <v>53</v>
      </c>
      <c r="AW47" s="34">
        <v>57</v>
      </c>
      <c r="AX47" s="34">
        <v>81</v>
      </c>
      <c r="AY47" s="34">
        <v>62</v>
      </c>
      <c r="AZ47" s="34">
        <v>56</v>
      </c>
      <c r="BA47" s="35">
        <f>AV47+AW47+AX47+AY47+AZ47</f>
        <v>309</v>
      </c>
      <c r="BC47" s="34">
        <v>320</v>
      </c>
      <c r="BD47" s="34" t="s">
        <v>689</v>
      </c>
      <c r="BE47" s="34">
        <v>40</v>
      </c>
      <c r="BF47" s="34">
        <v>12</v>
      </c>
      <c r="BG47" s="34">
        <v>33</v>
      </c>
      <c r="BH47" s="34">
        <v>55</v>
      </c>
      <c r="BI47" s="34">
        <v>69</v>
      </c>
      <c r="BJ47" s="35">
        <f>BE47+BF47+BG47+BH47+BI47</f>
        <v>209</v>
      </c>
      <c r="BL47" s="34">
        <v>372</v>
      </c>
      <c r="BM47" s="34" t="s">
        <v>694</v>
      </c>
      <c r="BN47" s="34">
        <v>8</v>
      </c>
      <c r="BO47" s="34">
        <v>61</v>
      </c>
      <c r="BP47" s="34">
        <v>69</v>
      </c>
      <c r="BQ47" s="34">
        <v>43</v>
      </c>
      <c r="BR47" s="34">
        <v>45</v>
      </c>
      <c r="BS47" s="35">
        <f>BN47+BO47+BP47+BQ47+BR47</f>
        <v>226</v>
      </c>
      <c r="BU47" s="34">
        <v>424</v>
      </c>
      <c r="BV47" s="34" t="s">
        <v>690</v>
      </c>
      <c r="BW47" s="34">
        <v>72</v>
      </c>
      <c r="BX47" s="34">
        <v>36</v>
      </c>
      <c r="BY47" s="34">
        <v>58</v>
      </c>
      <c r="BZ47" s="34">
        <v>62</v>
      </c>
      <c r="CA47" s="34">
        <v>29</v>
      </c>
      <c r="CB47" s="35">
        <f>BW47+BX47+BY47+BZ47+CA47</f>
        <v>257</v>
      </c>
    </row>
    <row r="48" spans="10:80" ht="18" customHeight="1" x14ac:dyDescent="0.2">
      <c r="J48" s="36">
        <v>60</v>
      </c>
      <c r="K48" s="36" t="s">
        <v>695</v>
      </c>
      <c r="L48" s="36">
        <v>69</v>
      </c>
      <c r="M48" s="36">
        <v>88</v>
      </c>
      <c r="N48" s="36">
        <v>86</v>
      </c>
      <c r="O48" s="36">
        <v>5</v>
      </c>
      <c r="P48" s="36">
        <v>34</v>
      </c>
      <c r="Q48" s="35">
        <f>L48+M48+N48+O48+P48</f>
        <v>282</v>
      </c>
      <c r="S48" s="36">
        <v>112</v>
      </c>
      <c r="T48" s="36" t="s">
        <v>696</v>
      </c>
      <c r="U48" s="36">
        <v>39</v>
      </c>
      <c r="V48" s="36">
        <v>58</v>
      </c>
      <c r="W48" s="36">
        <v>7</v>
      </c>
      <c r="X48" s="36">
        <v>34</v>
      </c>
      <c r="Y48" s="36">
        <v>82</v>
      </c>
      <c r="Z48" s="35">
        <f>U48+V48+W48+X48+Y48</f>
        <v>220</v>
      </c>
      <c r="AB48" s="36">
        <v>164</v>
      </c>
      <c r="AC48" s="36" t="s">
        <v>697</v>
      </c>
      <c r="AD48" s="36">
        <v>72</v>
      </c>
      <c r="AE48" s="36">
        <v>54</v>
      </c>
      <c r="AF48" s="36">
        <v>59</v>
      </c>
      <c r="AG48" s="36">
        <v>79</v>
      </c>
      <c r="AH48" s="36">
        <v>17</v>
      </c>
      <c r="AI48" s="35">
        <f>AD48+AE48+AF48+AG48+AH48</f>
        <v>281</v>
      </c>
      <c r="AK48" s="36">
        <v>216</v>
      </c>
      <c r="AL48" s="36" t="s">
        <v>698</v>
      </c>
      <c r="AM48" s="36">
        <v>48</v>
      </c>
      <c r="AN48" s="36">
        <v>10</v>
      </c>
      <c r="AO48" s="36">
        <v>58</v>
      </c>
      <c r="AP48" s="36">
        <v>18</v>
      </c>
      <c r="AQ48" s="36">
        <v>26</v>
      </c>
      <c r="AR48" s="35">
        <f>AM48+AN48+AO48+AP48+AQ48</f>
        <v>160</v>
      </c>
      <c r="AT48" s="36">
        <v>269</v>
      </c>
      <c r="AU48" s="36" t="s">
        <v>699</v>
      </c>
      <c r="AV48" s="36">
        <v>61</v>
      </c>
      <c r="AW48" s="36">
        <v>31</v>
      </c>
      <c r="AX48" s="36">
        <v>1</v>
      </c>
      <c r="AY48" s="36">
        <v>27</v>
      </c>
      <c r="AZ48" s="36">
        <v>23</v>
      </c>
      <c r="BA48" s="35">
        <f>AV48+AW48+AX48+AY48+AZ48</f>
        <v>143</v>
      </c>
      <c r="BC48" s="36">
        <v>321</v>
      </c>
      <c r="BD48" s="36" t="s">
        <v>695</v>
      </c>
      <c r="BE48" s="36">
        <v>41</v>
      </c>
      <c r="BF48" s="36">
        <v>36</v>
      </c>
      <c r="BG48" s="36">
        <v>37</v>
      </c>
      <c r="BH48" s="36">
        <v>85</v>
      </c>
      <c r="BI48" s="36">
        <v>2</v>
      </c>
      <c r="BJ48" s="35">
        <f>BE48+BF48+BG48+BH48+BI48</f>
        <v>201</v>
      </c>
      <c r="BL48" s="36">
        <v>373</v>
      </c>
      <c r="BM48" s="36" t="s">
        <v>700</v>
      </c>
      <c r="BN48" s="36">
        <v>61</v>
      </c>
      <c r="BO48" s="36">
        <v>26</v>
      </c>
      <c r="BP48" s="36">
        <v>71</v>
      </c>
      <c r="BQ48" s="36">
        <v>60</v>
      </c>
      <c r="BR48" s="36">
        <v>28</v>
      </c>
      <c r="BS48" s="35">
        <f>BN48+BO48+BP48+BQ48+BR48</f>
        <v>246</v>
      </c>
      <c r="BU48" s="36">
        <v>425</v>
      </c>
      <c r="BV48" s="36" t="s">
        <v>696</v>
      </c>
      <c r="BW48" s="36">
        <v>23</v>
      </c>
      <c r="BX48" s="36">
        <v>3</v>
      </c>
      <c r="BY48" s="36">
        <v>75</v>
      </c>
      <c r="BZ48" s="36">
        <v>71</v>
      </c>
      <c r="CA48" s="36">
        <v>54</v>
      </c>
      <c r="CB48" s="35">
        <f>BW48+BX48+BY48+BZ48+CA48</f>
        <v>226</v>
      </c>
    </row>
    <row r="49" spans="1:80" ht="18" customHeight="1" x14ac:dyDescent="0.2">
      <c r="J49" s="34">
        <v>61</v>
      </c>
      <c r="K49" s="34" t="s">
        <v>701</v>
      </c>
      <c r="L49" s="34">
        <v>43</v>
      </c>
      <c r="M49" s="34">
        <v>24</v>
      </c>
      <c r="N49" s="34">
        <v>6</v>
      </c>
      <c r="O49" s="34">
        <v>47</v>
      </c>
      <c r="P49" s="34">
        <v>15</v>
      </c>
      <c r="Q49" s="35">
        <f>L49+M49+N49+O49+P49</f>
        <v>135</v>
      </c>
      <c r="S49" s="34">
        <v>113</v>
      </c>
      <c r="T49" s="34" t="s">
        <v>702</v>
      </c>
      <c r="U49" s="34">
        <v>4</v>
      </c>
      <c r="V49" s="34">
        <v>20</v>
      </c>
      <c r="W49" s="34">
        <v>89</v>
      </c>
      <c r="X49" s="34">
        <v>24</v>
      </c>
      <c r="Y49" s="34">
        <v>84</v>
      </c>
      <c r="Z49" s="35">
        <f>U49+V49+W49+X49+Y49</f>
        <v>221</v>
      </c>
      <c r="AB49" s="34">
        <v>165</v>
      </c>
      <c r="AC49" s="34" t="s">
        <v>703</v>
      </c>
      <c r="AD49" s="34">
        <v>53</v>
      </c>
      <c r="AE49" s="34">
        <v>75</v>
      </c>
      <c r="AF49" s="34">
        <v>56</v>
      </c>
      <c r="AG49" s="34">
        <v>51</v>
      </c>
      <c r="AH49" s="34">
        <v>12</v>
      </c>
      <c r="AI49" s="35">
        <f>AD49+AE49+AF49+AG49+AH49</f>
        <v>247</v>
      </c>
      <c r="AK49" s="34">
        <v>217</v>
      </c>
      <c r="AL49" s="34" t="s">
        <v>704</v>
      </c>
      <c r="AM49" s="34">
        <v>5</v>
      </c>
      <c r="AN49" s="34">
        <v>26</v>
      </c>
      <c r="AO49" s="34">
        <v>40</v>
      </c>
      <c r="AP49" s="34">
        <v>29</v>
      </c>
      <c r="AQ49" s="34">
        <v>13</v>
      </c>
      <c r="AR49" s="35">
        <f>AM49+AN49+AO49+AP49+AQ49</f>
        <v>113</v>
      </c>
      <c r="AT49" s="34">
        <v>270</v>
      </c>
      <c r="AU49" s="34" t="s">
        <v>705</v>
      </c>
      <c r="AV49" s="34">
        <v>89</v>
      </c>
      <c r="AW49" s="34">
        <v>68</v>
      </c>
      <c r="AX49" s="34">
        <v>20</v>
      </c>
      <c r="AY49" s="34">
        <v>84</v>
      </c>
      <c r="AZ49" s="34">
        <v>76</v>
      </c>
      <c r="BA49" s="35">
        <f>AV49+AW49+AX49+AY49+AZ49</f>
        <v>337</v>
      </c>
      <c r="BC49" s="34">
        <v>322</v>
      </c>
      <c r="BD49" s="34" t="s">
        <v>701</v>
      </c>
      <c r="BE49" s="34">
        <v>64</v>
      </c>
      <c r="BF49" s="34">
        <v>16</v>
      </c>
      <c r="BG49" s="34">
        <v>70</v>
      </c>
      <c r="BH49" s="34">
        <v>54</v>
      </c>
      <c r="BI49" s="34">
        <v>1</v>
      </c>
      <c r="BJ49" s="35">
        <f>BE49+BF49+BG49+BH49+BI49</f>
        <v>205</v>
      </c>
      <c r="BL49" s="34">
        <v>374</v>
      </c>
      <c r="BM49" s="34" t="s">
        <v>706</v>
      </c>
      <c r="BN49" s="34">
        <v>34</v>
      </c>
      <c r="BO49" s="34">
        <v>35</v>
      </c>
      <c r="BP49" s="34">
        <v>71</v>
      </c>
      <c r="BQ49" s="34">
        <v>8</v>
      </c>
      <c r="BR49" s="34">
        <v>70</v>
      </c>
      <c r="BS49" s="35">
        <f>BN49+BO49+BP49+BQ49+BR49</f>
        <v>218</v>
      </c>
      <c r="BU49" s="34">
        <v>426</v>
      </c>
      <c r="BV49" s="34" t="s">
        <v>702</v>
      </c>
      <c r="BW49" s="34">
        <v>45</v>
      </c>
      <c r="BX49" s="34">
        <v>90</v>
      </c>
      <c r="BY49" s="34">
        <v>54</v>
      </c>
      <c r="BZ49" s="34">
        <v>56</v>
      </c>
      <c r="CA49" s="34">
        <v>89</v>
      </c>
      <c r="CB49" s="35">
        <f>BW49+BX49+BY49+BZ49+CA49</f>
        <v>334</v>
      </c>
    </row>
    <row r="50" spans="1:80" ht="18" customHeight="1" x14ac:dyDescent="0.2">
      <c r="J50" s="36">
        <v>62</v>
      </c>
      <c r="K50" s="36" t="s">
        <v>707</v>
      </c>
      <c r="L50" s="36">
        <v>48</v>
      </c>
      <c r="M50" s="36">
        <v>13</v>
      </c>
      <c r="N50" s="36">
        <v>17</v>
      </c>
      <c r="O50" s="36">
        <v>19</v>
      </c>
      <c r="P50" s="36">
        <v>65</v>
      </c>
      <c r="Q50" s="35">
        <f>L50+M50+N50+O50+P50</f>
        <v>162</v>
      </c>
      <c r="S50" s="36">
        <v>114</v>
      </c>
      <c r="T50" s="36" t="s">
        <v>708</v>
      </c>
      <c r="U50" s="36">
        <v>76</v>
      </c>
      <c r="V50" s="36">
        <v>18</v>
      </c>
      <c r="W50" s="36">
        <v>23</v>
      </c>
      <c r="X50" s="36">
        <v>44</v>
      </c>
      <c r="Y50" s="36">
        <v>41</v>
      </c>
      <c r="Z50" s="35">
        <f>U50+V50+W50+X50+Y50</f>
        <v>202</v>
      </c>
      <c r="AB50" s="36">
        <v>166</v>
      </c>
      <c r="AC50" s="36" t="s">
        <v>709</v>
      </c>
      <c r="AD50" s="36">
        <v>33</v>
      </c>
      <c r="AE50" s="36">
        <v>85</v>
      </c>
      <c r="AF50" s="36">
        <v>68</v>
      </c>
      <c r="AG50" s="36">
        <v>56</v>
      </c>
      <c r="AH50" s="36">
        <v>4</v>
      </c>
      <c r="AI50" s="35">
        <f>AD50+AE50+AF50+AG50+AH50</f>
        <v>246</v>
      </c>
      <c r="AK50" s="36">
        <v>218</v>
      </c>
      <c r="AL50" s="36" t="s">
        <v>710</v>
      </c>
      <c r="AM50" s="36">
        <v>18</v>
      </c>
      <c r="AN50" s="36">
        <v>54</v>
      </c>
      <c r="AO50" s="36">
        <v>89</v>
      </c>
      <c r="AP50" s="36">
        <v>39</v>
      </c>
      <c r="AQ50" s="36">
        <v>66</v>
      </c>
      <c r="AR50" s="35">
        <f>AM50+AN50+AO50+AP50+AQ50</f>
        <v>266</v>
      </c>
      <c r="AT50" s="36">
        <v>271</v>
      </c>
      <c r="AU50" s="36" t="s">
        <v>711</v>
      </c>
      <c r="AV50" s="36">
        <v>71</v>
      </c>
      <c r="AW50" s="36">
        <v>61</v>
      </c>
      <c r="AX50" s="36">
        <v>26</v>
      </c>
      <c r="AY50" s="36">
        <v>21</v>
      </c>
      <c r="AZ50" s="36">
        <v>1</v>
      </c>
      <c r="BA50" s="35">
        <f>AV50+AW50+AX50+AY50+AZ50</f>
        <v>180</v>
      </c>
      <c r="BC50" s="36">
        <v>323</v>
      </c>
      <c r="BD50" s="36" t="s">
        <v>707</v>
      </c>
      <c r="BE50" s="36">
        <v>8</v>
      </c>
      <c r="BF50" s="36">
        <v>57</v>
      </c>
      <c r="BG50" s="36">
        <v>38</v>
      </c>
      <c r="BH50" s="36">
        <v>79</v>
      </c>
      <c r="BI50" s="36">
        <v>13</v>
      </c>
      <c r="BJ50" s="35">
        <f>BE50+BF50+BG50+BH50+BI50</f>
        <v>195</v>
      </c>
      <c r="BL50" s="36">
        <v>375</v>
      </c>
      <c r="BM50" s="36" t="s">
        <v>712</v>
      </c>
      <c r="BN50" s="36">
        <v>47</v>
      </c>
      <c r="BO50" s="36">
        <v>24</v>
      </c>
      <c r="BP50" s="36">
        <v>78</v>
      </c>
      <c r="BQ50" s="36">
        <v>48</v>
      </c>
      <c r="BR50" s="36">
        <v>36</v>
      </c>
      <c r="BS50" s="35">
        <f>BN50+BO50+BP50+BQ50+BR50</f>
        <v>233</v>
      </c>
      <c r="BU50" s="36">
        <v>427</v>
      </c>
      <c r="BV50" s="36" t="s">
        <v>708</v>
      </c>
      <c r="BW50" s="36">
        <v>15</v>
      </c>
      <c r="BX50" s="36">
        <v>4</v>
      </c>
      <c r="BY50" s="36">
        <v>1</v>
      </c>
      <c r="BZ50" s="36">
        <v>63</v>
      </c>
      <c r="CA50" s="36">
        <v>70</v>
      </c>
      <c r="CB50" s="35">
        <f>BW50+BX50+BY50+BZ50+CA50</f>
        <v>153</v>
      </c>
    </row>
    <row r="51" spans="1:80" ht="18" customHeight="1" x14ac:dyDescent="0.2">
      <c r="J51" s="34">
        <v>63</v>
      </c>
      <c r="K51" s="34" t="s">
        <v>713</v>
      </c>
      <c r="L51" s="34">
        <v>16</v>
      </c>
      <c r="M51" s="34">
        <v>51</v>
      </c>
      <c r="N51" s="34">
        <v>2</v>
      </c>
      <c r="O51" s="34">
        <v>4</v>
      </c>
      <c r="P51" s="34">
        <v>74</v>
      </c>
      <c r="Q51" s="35">
        <f>L51+M51+N51+O51+P51</f>
        <v>147</v>
      </c>
      <c r="S51" s="34">
        <v>115</v>
      </c>
      <c r="T51" s="34" t="s">
        <v>714</v>
      </c>
      <c r="U51" s="34">
        <v>63</v>
      </c>
      <c r="V51" s="34">
        <v>20</v>
      </c>
      <c r="W51" s="34">
        <v>21</v>
      </c>
      <c r="X51" s="34">
        <v>89</v>
      </c>
      <c r="Y51" s="34">
        <v>11</v>
      </c>
      <c r="Z51" s="35">
        <f>U51+V51+W51+X51+Y51</f>
        <v>204</v>
      </c>
      <c r="AB51" s="34">
        <v>167</v>
      </c>
      <c r="AC51" s="34" t="s">
        <v>715</v>
      </c>
      <c r="AD51" s="34">
        <v>1</v>
      </c>
      <c r="AE51" s="34">
        <v>30</v>
      </c>
      <c r="AF51" s="34">
        <v>28</v>
      </c>
      <c r="AG51" s="34">
        <v>26</v>
      </c>
      <c r="AH51" s="34">
        <v>64</v>
      </c>
      <c r="AI51" s="35">
        <f>AD51+AE51+AF51+AG51+AH51</f>
        <v>149</v>
      </c>
      <c r="AK51" s="34">
        <v>219</v>
      </c>
      <c r="AL51" s="34" t="s">
        <v>716</v>
      </c>
      <c r="AM51" s="34">
        <v>89</v>
      </c>
      <c r="AN51" s="34">
        <v>87</v>
      </c>
      <c r="AO51" s="34">
        <v>17</v>
      </c>
      <c r="AP51" s="34">
        <v>46</v>
      </c>
      <c r="AQ51" s="34">
        <v>45</v>
      </c>
      <c r="AR51" s="35">
        <f>AM51+AN51+AO51+AP51+AQ51</f>
        <v>284</v>
      </c>
      <c r="AT51" s="34">
        <v>272</v>
      </c>
      <c r="AU51" s="34" t="s">
        <v>717</v>
      </c>
      <c r="AV51" s="34">
        <v>73</v>
      </c>
      <c r="AW51" s="34">
        <v>14</v>
      </c>
      <c r="AX51" s="34">
        <v>47</v>
      </c>
      <c r="AY51" s="34">
        <v>5</v>
      </c>
      <c r="AZ51" s="34">
        <v>50</v>
      </c>
      <c r="BA51" s="35">
        <f>AV51+AW51+AX51+AY51+AZ51</f>
        <v>189</v>
      </c>
      <c r="BC51" s="34">
        <v>324</v>
      </c>
      <c r="BD51" s="34" t="s">
        <v>713</v>
      </c>
      <c r="BE51" s="34">
        <v>32</v>
      </c>
      <c r="BF51" s="34">
        <v>41</v>
      </c>
      <c r="BG51" s="34">
        <v>6</v>
      </c>
      <c r="BH51" s="34">
        <v>68</v>
      </c>
      <c r="BI51" s="34">
        <v>70</v>
      </c>
      <c r="BJ51" s="35">
        <f>BE51+BF51+BG51+BH51+BI51</f>
        <v>217</v>
      </c>
      <c r="BL51" s="34">
        <v>376</v>
      </c>
      <c r="BM51" s="34" t="s">
        <v>718</v>
      </c>
      <c r="BN51" s="34">
        <v>55</v>
      </c>
      <c r="BO51" s="34">
        <v>85</v>
      </c>
      <c r="BP51" s="34">
        <v>32</v>
      </c>
      <c r="BQ51" s="34">
        <v>64</v>
      </c>
      <c r="BR51" s="34">
        <v>88</v>
      </c>
      <c r="BS51" s="35">
        <f>BN51+BO51+BP51+BQ51+BR51</f>
        <v>324</v>
      </c>
      <c r="BU51" s="34">
        <v>428</v>
      </c>
      <c r="BV51" s="34" t="s">
        <v>714</v>
      </c>
      <c r="BW51" s="34">
        <v>90</v>
      </c>
      <c r="BX51" s="34">
        <v>44</v>
      </c>
      <c r="BY51" s="34">
        <v>85</v>
      </c>
      <c r="BZ51" s="34">
        <v>41</v>
      </c>
      <c r="CA51" s="34">
        <v>4</v>
      </c>
      <c r="CB51" s="35">
        <f>BW51+BX51+BY51+BZ51+CA51</f>
        <v>264</v>
      </c>
    </row>
    <row r="52" spans="1:80" ht="18" customHeight="1" x14ac:dyDescent="0.2">
      <c r="J52" s="36">
        <v>64</v>
      </c>
      <c r="K52" s="36" t="s">
        <v>719</v>
      </c>
      <c r="L52" s="36">
        <v>14</v>
      </c>
      <c r="M52" s="36">
        <v>40</v>
      </c>
      <c r="N52" s="36">
        <v>2</v>
      </c>
      <c r="O52" s="36">
        <v>3</v>
      </c>
      <c r="P52" s="36">
        <v>10</v>
      </c>
      <c r="Q52" s="35">
        <f>L52+M52+N52+O52+P52</f>
        <v>69</v>
      </c>
      <c r="S52" s="36">
        <v>116</v>
      </c>
      <c r="T52" s="36" t="s">
        <v>720</v>
      </c>
      <c r="U52" s="36">
        <v>26</v>
      </c>
      <c r="V52" s="36">
        <v>83</v>
      </c>
      <c r="W52" s="36">
        <v>10</v>
      </c>
      <c r="X52" s="36">
        <v>90</v>
      </c>
      <c r="Y52" s="36">
        <v>49</v>
      </c>
      <c r="Z52" s="35">
        <f>U52+V52+W52+X52+Y52</f>
        <v>258</v>
      </c>
      <c r="AB52" s="36">
        <v>168</v>
      </c>
      <c r="AC52" s="36" t="s">
        <v>721</v>
      </c>
      <c r="AD52" s="36">
        <v>85</v>
      </c>
      <c r="AE52" s="36">
        <v>54</v>
      </c>
      <c r="AF52" s="36">
        <v>51</v>
      </c>
      <c r="AG52" s="36">
        <v>35</v>
      </c>
      <c r="AH52" s="36">
        <v>39</v>
      </c>
      <c r="AI52" s="35">
        <f>AD52+AE52+AF52+AG52+AH52</f>
        <v>264</v>
      </c>
      <c r="AK52" s="36">
        <v>220</v>
      </c>
      <c r="AL52" s="36" t="s">
        <v>722</v>
      </c>
      <c r="AM52" s="36">
        <v>30</v>
      </c>
      <c r="AN52" s="36">
        <v>13</v>
      </c>
      <c r="AO52" s="36">
        <v>76</v>
      </c>
      <c r="AP52" s="36">
        <v>90</v>
      </c>
      <c r="AQ52" s="36">
        <v>78</v>
      </c>
      <c r="AR52" s="35">
        <f>AM52+AN52+AO52+AP52+AQ52</f>
        <v>287</v>
      </c>
      <c r="AT52" s="36">
        <v>273</v>
      </c>
      <c r="AU52" s="36" t="s">
        <v>723</v>
      </c>
      <c r="AV52" s="36">
        <v>26</v>
      </c>
      <c r="AW52" s="36">
        <v>14</v>
      </c>
      <c r="AX52" s="36">
        <v>32</v>
      </c>
      <c r="AY52" s="36">
        <v>63</v>
      </c>
      <c r="AZ52" s="36">
        <v>1</v>
      </c>
      <c r="BA52" s="35">
        <f>AV52+AW52+AX52+AY52+AZ52</f>
        <v>136</v>
      </c>
      <c r="BC52" s="36">
        <v>325</v>
      </c>
      <c r="BD52" s="36" t="s">
        <v>719</v>
      </c>
      <c r="BE52" s="36">
        <v>30</v>
      </c>
      <c r="BF52" s="36">
        <v>59</v>
      </c>
      <c r="BG52" s="36">
        <v>52</v>
      </c>
      <c r="BH52" s="36">
        <v>75</v>
      </c>
      <c r="BI52" s="36">
        <v>51</v>
      </c>
      <c r="BJ52" s="35">
        <f>BE52+BF52+BG52+BH52+BI52</f>
        <v>267</v>
      </c>
      <c r="BL52" s="36">
        <v>377</v>
      </c>
      <c r="BM52" s="36" t="s">
        <v>724</v>
      </c>
      <c r="BN52" s="36">
        <v>56</v>
      </c>
      <c r="BO52" s="36">
        <v>67</v>
      </c>
      <c r="BP52" s="36">
        <v>63</v>
      </c>
      <c r="BQ52" s="36">
        <v>77</v>
      </c>
      <c r="BR52" s="36">
        <v>74</v>
      </c>
      <c r="BS52" s="35">
        <f>BN52+BO52+BP52+BQ52+BR52</f>
        <v>337</v>
      </c>
      <c r="BU52" s="36">
        <v>429</v>
      </c>
      <c r="BV52" s="36" t="s">
        <v>720</v>
      </c>
      <c r="BW52" s="36">
        <v>41</v>
      </c>
      <c r="BX52" s="36">
        <v>82</v>
      </c>
      <c r="BY52" s="36">
        <v>78</v>
      </c>
      <c r="BZ52" s="36">
        <v>23</v>
      </c>
      <c r="CA52" s="36">
        <v>28</v>
      </c>
      <c r="CB52" s="35">
        <f>BW52+BX52+BY52+BZ52+CA52</f>
        <v>252</v>
      </c>
    </row>
    <row r="53" spans="1:80" ht="18" customHeight="1" x14ac:dyDescent="0.2">
      <c r="J53" s="34">
        <v>65</v>
      </c>
      <c r="K53" s="34" t="s">
        <v>725</v>
      </c>
      <c r="L53" s="34">
        <v>67</v>
      </c>
      <c r="M53" s="34">
        <v>30</v>
      </c>
      <c r="N53" s="34">
        <v>12</v>
      </c>
      <c r="O53" s="34">
        <v>43</v>
      </c>
      <c r="P53" s="34">
        <v>44</v>
      </c>
      <c r="Q53" s="35">
        <f>L53+M53+N53+O53+P53</f>
        <v>196</v>
      </c>
      <c r="S53" s="34">
        <v>117</v>
      </c>
      <c r="T53" s="34" t="s">
        <v>726</v>
      </c>
      <c r="U53" s="34">
        <v>45</v>
      </c>
      <c r="V53" s="34">
        <v>72</v>
      </c>
      <c r="W53" s="34">
        <v>75</v>
      </c>
      <c r="X53" s="34">
        <v>14</v>
      </c>
      <c r="Y53" s="34">
        <v>38</v>
      </c>
      <c r="Z53" s="35">
        <f>U53+V53+W53+X53+Y53</f>
        <v>244</v>
      </c>
      <c r="AB53" s="34">
        <v>169</v>
      </c>
      <c r="AC53" s="34" t="s">
        <v>727</v>
      </c>
      <c r="AD53" s="34">
        <v>39</v>
      </c>
      <c r="AE53" s="34">
        <v>46</v>
      </c>
      <c r="AF53" s="34">
        <v>51</v>
      </c>
      <c r="AG53" s="34">
        <v>61</v>
      </c>
      <c r="AH53" s="34">
        <v>8</v>
      </c>
      <c r="AI53" s="35">
        <f>AD53+AE53+AF53+AG53+AH53</f>
        <v>205</v>
      </c>
      <c r="AK53" s="34">
        <v>221</v>
      </c>
      <c r="AL53" s="34" t="s">
        <v>728</v>
      </c>
      <c r="AM53" s="34">
        <v>4</v>
      </c>
      <c r="AN53" s="34">
        <v>48</v>
      </c>
      <c r="AO53" s="34">
        <v>38</v>
      </c>
      <c r="AP53" s="34">
        <v>26</v>
      </c>
      <c r="AQ53" s="34">
        <v>18</v>
      </c>
      <c r="AR53" s="35">
        <f>AM53+AN53+AO53+AP53+AQ53</f>
        <v>134</v>
      </c>
      <c r="AT53" s="34">
        <v>274</v>
      </c>
      <c r="AU53" s="34" t="s">
        <v>729</v>
      </c>
      <c r="AV53" s="34">
        <v>54</v>
      </c>
      <c r="AW53" s="34">
        <v>80</v>
      </c>
      <c r="AX53" s="34">
        <v>57</v>
      </c>
      <c r="AY53" s="34">
        <v>73</v>
      </c>
      <c r="AZ53" s="34">
        <v>17</v>
      </c>
      <c r="BA53" s="35">
        <f>AV53+AW53+AX53+AY53+AZ53</f>
        <v>281</v>
      </c>
      <c r="BC53" s="34">
        <v>326</v>
      </c>
      <c r="BD53" s="34" t="s">
        <v>725</v>
      </c>
      <c r="BE53" s="34">
        <v>18</v>
      </c>
      <c r="BF53" s="34">
        <v>56</v>
      </c>
      <c r="BG53" s="34">
        <v>86</v>
      </c>
      <c r="BH53" s="34">
        <v>78</v>
      </c>
      <c r="BI53" s="34">
        <v>27</v>
      </c>
      <c r="BJ53" s="35">
        <f>BE53+BF53+BG53+BH53+BI53</f>
        <v>265</v>
      </c>
      <c r="BL53" s="34">
        <v>378</v>
      </c>
      <c r="BM53" s="34" t="s">
        <v>730</v>
      </c>
      <c r="BN53" s="34">
        <v>47</v>
      </c>
      <c r="BO53" s="34">
        <v>64</v>
      </c>
      <c r="BP53" s="34">
        <v>78</v>
      </c>
      <c r="BQ53" s="34">
        <v>7</v>
      </c>
      <c r="BR53" s="34">
        <v>27</v>
      </c>
      <c r="BS53" s="35">
        <f>BN53+BO53+BP53+BQ53+BR53</f>
        <v>223</v>
      </c>
      <c r="BU53" s="34">
        <v>430</v>
      </c>
      <c r="BV53" s="34" t="s">
        <v>726</v>
      </c>
      <c r="BW53" s="34">
        <v>85</v>
      </c>
      <c r="BX53" s="34">
        <v>80</v>
      </c>
      <c r="BY53" s="34">
        <v>65</v>
      </c>
      <c r="BZ53" s="34">
        <v>82</v>
      </c>
      <c r="CA53" s="34">
        <v>20</v>
      </c>
      <c r="CB53" s="35">
        <f>BW53+BX53+BY53+BZ53+CA53</f>
        <v>332</v>
      </c>
    </row>
    <row r="54" spans="1:80" ht="18" customHeight="1" x14ac:dyDescent="0.2">
      <c r="J54" s="36">
        <v>66</v>
      </c>
      <c r="K54" s="36" t="s">
        <v>731</v>
      </c>
      <c r="L54" s="36">
        <v>43</v>
      </c>
      <c r="M54" s="36">
        <v>75</v>
      </c>
      <c r="N54" s="36">
        <v>58</v>
      </c>
      <c r="O54" s="36">
        <v>46</v>
      </c>
      <c r="P54" s="36">
        <v>82</v>
      </c>
      <c r="Q54" s="35">
        <f>L54+M54+N54+O54+P54</f>
        <v>304</v>
      </c>
      <c r="S54" s="36">
        <v>118</v>
      </c>
      <c r="T54" s="36" t="s">
        <v>732</v>
      </c>
      <c r="U54" s="36">
        <v>52</v>
      </c>
      <c r="V54" s="36">
        <v>17</v>
      </c>
      <c r="W54" s="36">
        <v>83</v>
      </c>
      <c r="X54" s="36">
        <v>84</v>
      </c>
      <c r="Y54" s="36">
        <v>77</v>
      </c>
      <c r="Z54" s="35">
        <f>U54+V54+W54+X54+Y54</f>
        <v>313</v>
      </c>
      <c r="AB54" s="36">
        <v>170</v>
      </c>
      <c r="AC54" s="36" t="s">
        <v>733</v>
      </c>
      <c r="AD54" s="36">
        <v>15</v>
      </c>
      <c r="AE54" s="36">
        <v>77</v>
      </c>
      <c r="AF54" s="36">
        <v>21</v>
      </c>
      <c r="AG54" s="36">
        <v>82</v>
      </c>
      <c r="AH54" s="36">
        <v>63</v>
      </c>
      <c r="AI54" s="35">
        <f>AD54+AE54+AF54+AG54+AH54</f>
        <v>258</v>
      </c>
      <c r="AK54" s="36">
        <v>222</v>
      </c>
      <c r="AL54" s="36" t="s">
        <v>734</v>
      </c>
      <c r="AM54" s="36">
        <v>22</v>
      </c>
      <c r="AN54" s="36">
        <v>43</v>
      </c>
      <c r="AO54" s="36">
        <v>34</v>
      </c>
      <c r="AP54" s="36">
        <v>32</v>
      </c>
      <c r="AQ54" s="36">
        <v>6</v>
      </c>
      <c r="AR54" s="35">
        <f>AM54+AN54+AO54+AP54+AQ54</f>
        <v>137</v>
      </c>
      <c r="AT54" s="36">
        <v>275</v>
      </c>
      <c r="AU54" s="36" t="s">
        <v>735</v>
      </c>
      <c r="AV54" s="36">
        <v>80</v>
      </c>
      <c r="AW54" s="36">
        <v>64</v>
      </c>
      <c r="AX54" s="36">
        <v>32</v>
      </c>
      <c r="AY54" s="36">
        <v>13</v>
      </c>
      <c r="AZ54" s="36">
        <v>22</v>
      </c>
      <c r="BA54" s="35">
        <f>AV54+AW54+AX54+AY54+AZ54</f>
        <v>211</v>
      </c>
      <c r="BC54" s="36">
        <v>327</v>
      </c>
      <c r="BD54" s="36" t="s">
        <v>731</v>
      </c>
      <c r="BE54" s="36">
        <v>59</v>
      </c>
      <c r="BF54" s="36">
        <v>16</v>
      </c>
      <c r="BG54" s="36">
        <v>72</v>
      </c>
      <c r="BH54" s="36">
        <v>51</v>
      </c>
      <c r="BI54" s="36">
        <v>36</v>
      </c>
      <c r="BJ54" s="35">
        <f>BE54+BF54+BG54+BH54+BI54</f>
        <v>234</v>
      </c>
      <c r="BL54" s="36">
        <v>379</v>
      </c>
      <c r="BM54" s="36" t="s">
        <v>736</v>
      </c>
      <c r="BN54" s="36">
        <v>36</v>
      </c>
      <c r="BO54" s="36">
        <v>64</v>
      </c>
      <c r="BP54" s="36">
        <v>15</v>
      </c>
      <c r="BQ54" s="36">
        <v>48</v>
      </c>
      <c r="BR54" s="36">
        <v>56</v>
      </c>
      <c r="BS54" s="35">
        <f>BN54+BO54+BP54+BQ54+BR54</f>
        <v>219</v>
      </c>
      <c r="BU54" s="36">
        <v>431</v>
      </c>
      <c r="BV54" s="36" t="s">
        <v>732</v>
      </c>
      <c r="BW54" s="36">
        <v>13</v>
      </c>
      <c r="BX54" s="36">
        <v>9</v>
      </c>
      <c r="BY54" s="36">
        <v>8</v>
      </c>
      <c r="BZ54" s="36">
        <v>75</v>
      </c>
      <c r="CA54" s="36">
        <v>79</v>
      </c>
      <c r="CB54" s="35">
        <f>BW54+BX54+BY54+BZ54+CA54</f>
        <v>184</v>
      </c>
    </row>
    <row r="55" spans="1:80" ht="18" customHeight="1" x14ac:dyDescent="0.2">
      <c r="AK55" s="34">
        <v>223</v>
      </c>
      <c r="AL55" s="34" t="s">
        <v>737</v>
      </c>
      <c r="AM55" s="34">
        <v>31</v>
      </c>
      <c r="AN55" s="34">
        <v>30</v>
      </c>
      <c r="AO55" s="34">
        <v>12</v>
      </c>
      <c r="AP55" s="34">
        <v>18</v>
      </c>
      <c r="AQ55" s="34">
        <v>66</v>
      </c>
      <c r="AR55" s="35">
        <f>AM55+AN55+AO55+AP55+AQ55</f>
        <v>157</v>
      </c>
    </row>
    <row r="56" spans="1:80" ht="18" x14ac:dyDescent="0.2">
      <c r="A56" s="37" t="s">
        <v>738</v>
      </c>
      <c r="B56" s="38"/>
      <c r="C56" s="39">
        <f>IFERROR(AVERAGE(C3:C16),"")</f>
        <v>44.642857142857146</v>
      </c>
      <c r="D56" s="39">
        <f>IFERROR(AVERAGE(D3:D16),"")</f>
        <v>61.428571428571431</v>
      </c>
      <c r="E56" s="39">
        <f>IFERROR(AVERAGE(E3:E16),"")</f>
        <v>57.785714285714285</v>
      </c>
      <c r="F56" s="39">
        <f>IFERROR(AVERAGE(F3:F16),"")</f>
        <v>35.571428571428569</v>
      </c>
      <c r="G56" s="39">
        <f>IFERROR(AVERAGE(G3:G16),"")</f>
        <v>35.571428571428569</v>
      </c>
      <c r="H56" s="39">
        <f>IFERROR(AVERAGE(H3:H16),"")</f>
        <v>235</v>
      </c>
      <c r="J56" s="37" t="s">
        <v>738</v>
      </c>
      <c r="K56" s="38"/>
      <c r="L56" s="39">
        <f>IFERROR(AVERAGE(L3:L54),"")</f>
        <v>45.519230769230766</v>
      </c>
      <c r="M56" s="39">
        <f>IFERROR(AVERAGE(M3:M54),"")</f>
        <v>45.53846153846154</v>
      </c>
      <c r="N56" s="39">
        <f>IFERROR(AVERAGE(N3:N54),"")</f>
        <v>40.692307692307693</v>
      </c>
      <c r="O56" s="39">
        <f>IFERROR(AVERAGE(O3:O54),"")</f>
        <v>43.28846153846154</v>
      </c>
      <c r="P56" s="39">
        <f>IFERROR(AVERAGE(P3:P54),"")</f>
        <v>39.403846153846153</v>
      </c>
      <c r="Q56" s="39">
        <f>IFERROR(AVERAGE(Q3:Q54),"")</f>
        <v>214.44230769230768</v>
      </c>
      <c r="S56" s="37" t="s">
        <v>738</v>
      </c>
      <c r="T56" s="38"/>
      <c r="U56" s="39">
        <f>IFERROR(AVERAGE(U3:U54),"")</f>
        <v>50.307692307692307</v>
      </c>
      <c r="V56" s="39">
        <f>IFERROR(AVERAGE(V3:V54),"")</f>
        <v>51.57692307692308</v>
      </c>
      <c r="W56" s="39">
        <f>IFERROR(AVERAGE(W3:W54),"")</f>
        <v>46.769230769230766</v>
      </c>
      <c r="X56" s="39">
        <f>IFERROR(AVERAGE(X3:X54),"")</f>
        <v>46.634615384615387</v>
      </c>
      <c r="Y56" s="39">
        <f>IFERROR(AVERAGE(Y3:Y54),"")</f>
        <v>49.653846153846153</v>
      </c>
      <c r="Z56" s="39">
        <f>IFERROR(AVERAGE(Z3:Z54),"")</f>
        <v>244.94230769230768</v>
      </c>
      <c r="AB56" s="37" t="s">
        <v>738</v>
      </c>
      <c r="AC56" s="38"/>
      <c r="AD56" s="39">
        <f>IFERROR(AVERAGE(AD3:AD54),"")</f>
        <v>41.884615384615387</v>
      </c>
      <c r="AE56" s="39">
        <f>IFERROR(AVERAGE(AE3:AE54),"")</f>
        <v>43.67307692307692</v>
      </c>
      <c r="AF56" s="39">
        <f>IFERROR(AVERAGE(AF3:AF54),"")</f>
        <v>41.980769230769234</v>
      </c>
      <c r="AG56" s="39">
        <f>IFERROR(AVERAGE(AG3:AG54),"")</f>
        <v>47.653846153846153</v>
      </c>
      <c r="AH56" s="39">
        <f>IFERROR(AVERAGE(AH3:AH54),"")</f>
        <v>43.980769230769234</v>
      </c>
      <c r="AI56" s="39">
        <f>IFERROR(AVERAGE(AI3:AI54),"")</f>
        <v>219.17307692307693</v>
      </c>
      <c r="AK56" s="37" t="s">
        <v>738</v>
      </c>
      <c r="AL56" s="38"/>
      <c r="AM56" s="39">
        <f>IFERROR(AVERAGE(AM3:AM55),"")</f>
        <v>48.660377358490564</v>
      </c>
      <c r="AN56" s="39">
        <f>IFERROR(AVERAGE(AN3:AN55),"")</f>
        <v>48</v>
      </c>
      <c r="AO56" s="39">
        <f>IFERROR(AVERAGE(AO3:AO55),"")</f>
        <v>51.301886792452834</v>
      </c>
      <c r="AP56" s="39">
        <f>IFERROR(AVERAGE(AP3:AP55),"")</f>
        <v>50.226415094339622</v>
      </c>
      <c r="AQ56" s="39">
        <f>IFERROR(AVERAGE(AQ3:AQ55),"")</f>
        <v>47.20754716981132</v>
      </c>
      <c r="AR56" s="39">
        <f>IFERROR(AVERAGE(AR3:AR55),"")</f>
        <v>245.39622641509433</v>
      </c>
      <c r="AT56" s="37" t="s">
        <v>738</v>
      </c>
      <c r="AU56" s="38"/>
      <c r="AV56" s="39">
        <f>IFERROR(AVERAGE(AV3:AV54),"")</f>
        <v>49.634615384615387</v>
      </c>
      <c r="AW56" s="39">
        <f>IFERROR(AVERAGE(AW3:AW54),"")</f>
        <v>44.78846153846154</v>
      </c>
      <c r="AX56" s="39">
        <f>IFERROR(AVERAGE(AX3:AX54),"")</f>
        <v>41.25</v>
      </c>
      <c r="AY56" s="39">
        <f>IFERROR(AVERAGE(AY3:AY54),"")</f>
        <v>46.692307692307693</v>
      </c>
      <c r="AZ56" s="39">
        <f>IFERROR(AVERAGE(AZ3:AZ54),"")</f>
        <v>43.884615384615387</v>
      </c>
      <c r="BA56" s="39">
        <f>IFERROR(AVERAGE(BA3:BA54),"")</f>
        <v>226.25</v>
      </c>
      <c r="BC56" s="37" t="s">
        <v>738</v>
      </c>
      <c r="BD56" s="38"/>
      <c r="BE56" s="39">
        <f>IFERROR(AVERAGE(BE3:BE54),"")</f>
        <v>47.846153846153847</v>
      </c>
      <c r="BF56" s="39">
        <f>IFERROR(AVERAGE(BF3:BF54),"")</f>
        <v>50.403846153846153</v>
      </c>
      <c r="BG56" s="39">
        <f>IFERROR(AVERAGE(BG3:BG54),"")</f>
        <v>48.78846153846154</v>
      </c>
      <c r="BH56" s="39">
        <f>IFERROR(AVERAGE(BH3:BH54),"")</f>
        <v>48.884615384615387</v>
      </c>
      <c r="BI56" s="39">
        <f>IFERROR(AVERAGE(BI3:BI54),"")</f>
        <v>45.17307692307692</v>
      </c>
      <c r="BJ56" s="39">
        <f>IFERROR(AVERAGE(BJ3:BJ54),"")</f>
        <v>241.09615384615384</v>
      </c>
      <c r="BL56" s="37" t="s">
        <v>738</v>
      </c>
      <c r="BM56" s="38"/>
      <c r="BN56" s="39">
        <f>IFERROR(AVERAGE(BN3:BN54),"")</f>
        <v>47.134615384615387</v>
      </c>
      <c r="BO56" s="39">
        <f>IFERROR(AVERAGE(BO3:BO54),"")</f>
        <v>54.75</v>
      </c>
      <c r="BP56" s="39">
        <f>IFERROR(AVERAGE(BP3:BP54),"")</f>
        <v>47.57692307692308</v>
      </c>
      <c r="BQ56" s="39">
        <f>IFERROR(AVERAGE(BQ3:BQ54),"")</f>
        <v>43.75</v>
      </c>
      <c r="BR56" s="39">
        <f>IFERROR(AVERAGE(BR3:BR54),"")</f>
        <v>47.096153846153847</v>
      </c>
      <c r="BS56" s="39">
        <f>IFERROR(AVERAGE(BS3:BS54),"")</f>
        <v>240.30769230769232</v>
      </c>
      <c r="BU56" s="37" t="s">
        <v>738</v>
      </c>
      <c r="BV56" s="38"/>
      <c r="BW56" s="39">
        <f>IFERROR(AVERAGE(BW3:BW54),"")</f>
        <v>49.846153846153847</v>
      </c>
      <c r="BX56" s="39">
        <f>IFERROR(AVERAGE(BX3:BX54),"")</f>
        <v>47.019230769230766</v>
      </c>
      <c r="BY56" s="39">
        <f>IFERROR(AVERAGE(BY3:BY54),"")</f>
        <v>48.903846153846153</v>
      </c>
      <c r="BZ56" s="39">
        <f>IFERROR(AVERAGE(BZ3:BZ54),"")</f>
        <v>45.42307692307692</v>
      </c>
      <c r="CA56" s="39">
        <f>IFERROR(AVERAGE(CA3:CA54),"")</f>
        <v>47.25</v>
      </c>
      <c r="CB56" s="39">
        <f>IFERROR(AVERAGE(CB3:CB54),"")</f>
        <v>238.44230769230768</v>
      </c>
    </row>
  </sheetData>
  <mergeCells count="9">
    <mergeCell ref="BC1:BJ1"/>
    <mergeCell ref="BL1:BS1"/>
    <mergeCell ref="BU1:CB1"/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RÉCAP</vt:lpstr>
      <vt:lpstr>BINGO 2026</vt:lpstr>
      <vt:lpstr>BINGO 2025</vt:lpstr>
      <vt:lpstr>Feuil3</vt:lpstr>
      <vt:lpstr>BINGO 2024</vt:lpstr>
      <vt:lpstr>BINGO 2023</vt:lpstr>
      <vt:lpstr>STATISTIQUES GLOBAL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2026-07-11T13:47:40Z</dcterms:created>
  <dcterms:modified xsi:type="dcterms:W3CDTF">2026-07-11T17:55:44Z</dcterms:modified>
</cp:coreProperties>
</file>