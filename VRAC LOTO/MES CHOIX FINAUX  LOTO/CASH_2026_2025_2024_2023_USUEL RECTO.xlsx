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C4E5105B-275B-E14F-AD33-5B669C9C3BDD}" xr6:coauthVersionLast="47" xr6:coauthVersionMax="47" xr10:uidLastSave="{00000000-0000-0000-0000-000000000000}"/>
  <bookViews>
    <workbookView xWindow="180" yWindow="600" windowWidth="51200" windowHeight="28200" xr2:uid="{00000000-000D-0000-FFFF-FFFF00000000}"/>
  </bookViews>
  <sheets>
    <sheet name="CASH 2026-2023" sheetId="1" r:id="rId1"/>
    <sheet name="STATISTIQUES" sheetId="2" r:id="rId2"/>
    <sheet name="CASH 2026-2023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3" l="1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I23" i="3"/>
  <c r="Z23" i="3"/>
  <c r="Q23" i="3"/>
  <c r="H23" i="3"/>
  <c r="AI22" i="3"/>
  <c r="Z22" i="3"/>
  <c r="Q22" i="3"/>
  <c r="H22" i="3"/>
  <c r="AI21" i="3"/>
  <c r="Z21" i="3"/>
  <c r="Q21" i="3"/>
  <c r="H21" i="3"/>
  <c r="AI20" i="3"/>
  <c r="Z20" i="3"/>
  <c r="Q20" i="3"/>
  <c r="H20" i="3"/>
  <c r="AI19" i="3"/>
  <c r="Z19" i="3"/>
  <c r="Q19" i="3"/>
  <c r="H19" i="3"/>
  <c r="AI18" i="3"/>
  <c r="Z18" i="3"/>
  <c r="Q18" i="3"/>
  <c r="H18" i="3"/>
  <c r="AI17" i="3"/>
  <c r="Z17" i="3"/>
  <c r="Q17" i="3"/>
  <c r="H17" i="3"/>
  <c r="AI16" i="3"/>
  <c r="Z16" i="3"/>
  <c r="Q16" i="3"/>
  <c r="H16" i="3"/>
  <c r="AI15" i="3"/>
  <c r="Z15" i="3"/>
  <c r="Q15" i="3"/>
  <c r="H15" i="3"/>
  <c r="AI14" i="3"/>
  <c r="Z14" i="3"/>
  <c r="Q14" i="3"/>
  <c r="H14" i="3"/>
  <c r="AI13" i="3"/>
  <c r="Z13" i="3"/>
  <c r="Q13" i="3"/>
  <c r="H13" i="3"/>
  <c r="AI12" i="3"/>
  <c r="Z12" i="3"/>
  <c r="Q12" i="3"/>
  <c r="H12" i="3"/>
  <c r="AI11" i="3"/>
  <c r="Z11" i="3"/>
  <c r="Q11" i="3"/>
  <c r="H11" i="3"/>
  <c r="AI10" i="3"/>
  <c r="Z10" i="3"/>
  <c r="Q10" i="3"/>
  <c r="H10" i="3"/>
  <c r="AI9" i="3"/>
  <c r="Z9" i="3"/>
  <c r="Q9" i="3"/>
  <c r="H9" i="3"/>
  <c r="AI8" i="3"/>
  <c r="Z8" i="3"/>
  <c r="Q8" i="3"/>
  <c r="H8" i="3"/>
  <c r="AI7" i="3"/>
  <c r="Z7" i="3"/>
  <c r="Q7" i="3"/>
  <c r="H7" i="3"/>
  <c r="AI6" i="3"/>
  <c r="Z6" i="3"/>
  <c r="Q6" i="3"/>
  <c r="H6" i="3"/>
  <c r="AI5" i="3"/>
  <c r="Z5" i="3"/>
  <c r="Q5" i="3"/>
  <c r="H5" i="3"/>
  <c r="AI4" i="3"/>
  <c r="Z4" i="3"/>
  <c r="Q4" i="3"/>
  <c r="H4" i="3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  <c r="H36" i="3"/>
  <c r="H36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<sst xmlns="http://schemas.openxmlformats.org/spreadsheetml/2006/main" count="732" uniqueCount="350">
  <si>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</si>
  <si>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</si>
  <si>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</si>
  <si>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</si>
  <si>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</si>
  <si>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</si>
  <si>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</si>
  <si>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</si>
  <si>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</si>
  <si>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</si>
  <si>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</si>
  <si>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</si>
  <si>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</si>
  <si>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</si>
  <si>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</si>
  <si>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</si>
  <si>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</si>
  <si>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</si>
  <si>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</si>
  <si>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</si>
  <si>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</si>
  <si>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</si>
  <si>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</si>
  <si>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</si>
  <si>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</si>
  <si>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</si>
  <si>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</si>
  <si>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</si>
  <si>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</si>
  <si>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</si>
  <si>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</si>
  <si>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</si>
  <si>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</si>
  <si>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</si>
  <si>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</si>
  <si>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</si>
  <si>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</si>
  <si>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</si>
  <si>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</si>
  <si>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</si>
  <si>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</si>
  <si>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</si>
  <si>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</si>
  <si>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</si>
  <si>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</si>
  <si>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</si>
  <si>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</si>
  <si>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</si>
  <si>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</si>
  <si>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</si>
  <si>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</si>
  <si>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</si>
  <si>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</si>
  <si>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</si>
  <si>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</si>
  <si>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</si>
  <si>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</si>
  <si>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</si>
  <si>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</si>
  <si>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</si>
  <si>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</si>
  <si>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</si>
  <si>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</si>
  <si>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</si>
  <si>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</si>
  <si>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</si>
  <si>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</si>
  <si>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</si>
  <si>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</si>
  <si>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</si>
  <si>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</si>
  <si>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</si>
  <si>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</si>
  <si>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</si>
  <si>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</si>
  <si>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</si>
  <si>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</si>
  <si>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</si>
  <si>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</si>
  <si>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</si>
  <si>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</si>
  <si>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</si>
  <si>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</si>
  <si>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</si>
  <si>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</si>
  <si>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</si>
  <si>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</si>
  <si>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</si>
  <si>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</si>
  <si>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</si>
  <si>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</si>
  <si>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</si>
  <si>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</si>
  <si>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</si>
  <si>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</si>
  <si>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</si>
  <si>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</si>
  <si>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</si>
  <si>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</si>
  <si>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</si>
  <si>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</si>
  <si>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</si>
  <si>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</si>
  <si>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</si>
  <si>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</si>
  <si>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</si>
  <si>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</si>
  <si>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</si>
  <si>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</si>
  <si>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</si>
  <si>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</si>
  <si>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</si>
  <si>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</si>
  <si>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</si>
  <si>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</si>
  <si>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</si>
  <si>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</si>
  <si>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</si>
  <si>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</si>
  <si>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</si>
  <si>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</si>
  <si>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</si>
  <si>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</si>
  <si>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</si>
  <si>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</si>
  <si>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</si>
  <si>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</si>
  <si>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</si>
  <si>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</si>
  <si>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</si>
  <si>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</si>
  <si>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</si>
  <si>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</si>
  <si>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</si>
  <si>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</si>
  <si>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</si>
  <si>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</si>
  <si>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</si>
  <si>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</si>
  <si>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</si>
  <si>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</si>
  <si>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</si>
  <si>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</si>
  <si>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</si>
  <si>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</si>
  <si>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</si>
  <si>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</si>
  <si>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</si>
  <si>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</si>
  <si>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</si>
  <si>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</si>
  <si>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</si>
  <si>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</si>
  <si>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</si>
  <si>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</si>
  <si>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</si>
  <si>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</si>
  <si>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</si>
  <si>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</si>
  <si>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</si>
  <si>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</si>
  <si>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</si>
  <si>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</si>
  <si>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</si>
  <si>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</si>
  <si>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</si>
  <si>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</si>
  <si>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</si>
  <si>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</si>
  <si>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</si>
  <si>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</si>
  <si>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</si>
  <si>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</si>
  <si>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</si>
  <si>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</si>
  <si>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</si>
  <si>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</si>
  <si>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</si>
  <si>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</si>
  <si>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</si>
  <si>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</si>
  <si>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</si>
  <si>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</si>
  <si>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</si>
  <si>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</si>
  <si>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</si>
  <si>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</si>
  <si>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</si>
  <si>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</si>
  <si>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</si>
  <si>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</si>
  <si>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</si>
  <si>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</si>
  <si>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</si>
  <si>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</si>
  <si>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</si>
  <si>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</si>
  <si>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</si>
  <si>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</si>
  <si>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</si>
  <si>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</si>
  <si>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</si>
  <si>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</si>
  <si>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</si>
  <si>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</si>
  <si>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</si>
  <si>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</si>
  <si>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</si>
  <si>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</si>
  <si>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</si>
  <si>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</si>
  <si>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</si>
  <si>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</si>
  <si>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</si>
  <si>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</si>
  <si>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</si>
  <si>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</si>
  <si>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</si>
  <si>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</si>
  <si>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</si>
  <si>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</si>
  <si>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</si>
  <si>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</si>
  <si>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</si>
  <si>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</si>
  <si>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</si>
  <si>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</si>
  <si>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</si>
  <si>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</si>
  <si>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</si>
  <si>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</si>
  <si>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</si>
  <si>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</si>
  <si>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</si>
  <si>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</si>
  <si>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</si>
  <si>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</si>
  <si>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</si>
  <si>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</si>
  <si>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</si>
  <si>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</si>
  <si>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</si>
  <si>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</si>
  <si>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</si>
  <si>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</si>
  <si>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</si>
  <si>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</si>
  <si>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</si>
  <si>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</si>
  <si>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</si>
  <si>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</si>
  <si>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</si>
  <si>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</si>
  <si>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</si>
  <si>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</si>
  <si>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</si>
  <si>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</si>
  <si>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</si>
  <si>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</si>
  <si>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</si>
  <si>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</si>
  <si>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</si>
  <si>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</si>
  <si>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</si>
  <si>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</si>
  <si>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</si>
  <si>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</si>
  <si>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</si>
  <si>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</si>
  <si>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</si>
  <si>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</si>
  <si>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</si>
  <si>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</si>
  <si>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</si>
  <si>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</si>
  <si>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</si>
  <si>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</si>
  <si>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</si>
  <si>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</si>
  <si>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</si>
  <si>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</si>
  <si>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</si>
  <si>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</si>
  <si>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</si>
  <si>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</si>
  <si>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</si>
  <si>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</si>
  <si>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</si>
  <si>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</si>
  <si>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</si>
  <si>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</si>
  <si>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</si>
  <si>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</si>
  <si>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</si>
  <si>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</si>
  <si>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</si>
  <si>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</si>
  <si>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</si>
  <si>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</si>
  <si>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</si>
  <si>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</si>
  <si>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</si>
  <si>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</si>
  <si>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</si>
  <si>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</si>
  <si>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</si>
  <si>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</si>
  <si>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</si>
  <si>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</si>
  <si>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</si>
  <si>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</si>
  <si>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</si>
  <si>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</si>
  <si>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</si>
  <si>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</si>
  <si>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</si>
  <si>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</si>
  <si>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</si>
  <si>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</si>
  <si>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</si>
  <si>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</si>
  <si>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</si>
  <si>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</si>
  <si>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</si>
  <si>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</si>
  <si>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</si>
  <si>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</si>
  <si>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</si>
  <si>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</si>
  <si>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</si>
  <si>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</si>
  <si>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</si>
  <si>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</si>
  <si>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</si>
  <si>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</si>
  <si>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</si>
  <si>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</si>
  <si>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</si>
  <si>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</si>
  <si>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</si>
  <si>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</si>
  <si>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</si>
  <si>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</si>
  <si>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CASH 2025  —  52 tirages</t>
  </si>
  <si>
    <t>CASH 2024  —  53 tirages</t>
  </si>
  <si>
    <t>CASH 2023  —  26 tirages</t>
  </si>
  <si>
    <t>CSH 157</t>
  </si>
  <si>
    <t>grpe1</t>
  </si>
  <si>
    <t>jeux</t>
  </si>
  <si>
    <t>25 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</si>
</sst>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0"/>
      <name val="Arial"/>
      <family val="2"/>
    </font>
    <font>
      <sz val="11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1189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4" fillId="18" borderId="2" applyNumberFormat="0" applyAlignment="0" applyProtection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 vertical="center"/>
    </xf>
    <xf numFmtId="0" fontId="14" fillId="18" borderId="2" xfId="1" applyAlignment="1">
      <alignment horizontal="center" vertical="center"/>
    </xf>
    <xf numFmtId="0" fontId="18" fillId="25" borderId="1" xfId="0" applyFont="1" applyFill="1" applyBorder="1"/>
    <xf numFmtId="0" fontId="18" fillId="25" borderId="1" xfId="0" applyFont="1" applyFill="1" applyBorder="1" applyAlignment="1">
      <alignment horizontal="center"/>
    </xf>
    <xf numFmtId="0" fontId="17" fillId="25" borderId="1" xfId="0" applyFont="1" applyFill="1" applyBorder="1" applyAlignment="1">
      <alignment horizontal="center" vertical="center"/>
    </xf>
    <xf numFmtId="0" fontId="15" fillId="25" borderId="2" xfId="1" applyFont="1" applyFill="1" applyAlignment="1">
      <alignment horizontal="center" vertical="center"/>
    </xf>
    <xf numFmtId="0" fontId="0" fillId="20" borderId="1" xfId="0" applyFill="1" applyBorder="1"/>
  </cellXfs>
  <cellStyles count="2">
    <cellStyle name="Calcul" xfId="1" builtinId="22"/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colors>
    <mruColors>
      <color rgb="FF011893"/>
      <color rgb="FF945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zoomScale="300" zoomScaleNormal="300" workbookViewId="0">
      <pane xSplit="9" ySplit="3" topLeftCell="L10" activePane="bottomRight" state="frozen"/>
      <selection pane="topRight"/>
      <selection pane="bottomLeft"/>
      <selection pane="bottomRight"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 customHeight="1" x14ac:dyDescent="0.2">
      <c r="A2" s="32" t="s">
        <v>325</v>
      </c>
      <c r="B2" s="28"/>
      <c r="C2" s="28"/>
      <c r="D2" s="28"/>
      <c r="E2" s="28"/>
      <c r="F2" s="28"/>
      <c r="G2" s="28"/>
      <c r="I2" s="32" t="s">
        <v>326</v>
      </c>
      <c r="J2" s="28"/>
      <c r="K2" s="28"/>
      <c r="L2" s="28"/>
      <c r="M2" s="28"/>
      <c r="N2" s="28"/>
      <c r="O2" s="28"/>
      <c r="P2" s="28"/>
      <c r="Q2" s="28"/>
      <c r="R2" s="28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61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37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43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39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103" spans="1:20" ht="18" customHeight="1" x14ac:dyDescent="0.2">
      <c r="A103" s="32" t="s">
        <v>341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20" ht="16" customHeight="1" x14ac:dyDescent="0.2">
      <c r="A104" s="34" t="s">
        <v>342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1:20" ht="14" customHeight="1" x14ac:dyDescent="0.2">
      <c r="A105" s="10">
        <v>16</v>
      </c>
      <c r="B105" s="24">
        <v>4</v>
      </c>
      <c r="C105" s="10">
        <v>11</v>
      </c>
      <c r="D105" s="24">
        <v>4</v>
      </c>
      <c r="E105" s="10">
        <v>5</v>
      </c>
      <c r="F105" s="24">
        <v>4</v>
      </c>
      <c r="G105" s="10">
        <v>42</v>
      </c>
      <c r="H105" s="24">
        <v>4</v>
      </c>
      <c r="I105" s="10">
        <v>69</v>
      </c>
      <c r="J105" s="24">
        <v>3</v>
      </c>
      <c r="K105" s="10">
        <v>86</v>
      </c>
      <c r="L105" s="24">
        <v>3</v>
      </c>
      <c r="M105" s="10">
        <v>19</v>
      </c>
      <c r="N105" s="24">
        <v>3</v>
      </c>
      <c r="O105" s="10">
        <v>81</v>
      </c>
      <c r="P105" s="24">
        <v>3</v>
      </c>
      <c r="Q105" s="10">
        <v>45</v>
      </c>
      <c r="R105" s="24">
        <v>3</v>
      </c>
      <c r="S105" s="10">
        <v>85</v>
      </c>
      <c r="T105" s="24">
        <v>3</v>
      </c>
    </row>
    <row r="106" spans="1:20" ht="14" customHeight="1" x14ac:dyDescent="0.2">
      <c r="A106" s="25">
        <v>73</v>
      </c>
      <c r="B106" s="26">
        <v>1</v>
      </c>
      <c r="C106" s="25">
        <v>20</v>
      </c>
      <c r="D106" s="26">
        <v>1</v>
      </c>
      <c r="E106" s="25">
        <v>40</v>
      </c>
      <c r="F106" s="26">
        <v>1</v>
      </c>
      <c r="G106" s="25">
        <v>14</v>
      </c>
      <c r="H106" s="26">
        <v>1</v>
      </c>
      <c r="I106" s="25">
        <v>4</v>
      </c>
      <c r="J106" s="26">
        <v>1</v>
      </c>
      <c r="K106" s="25">
        <v>17</v>
      </c>
      <c r="L106" s="26">
        <v>1</v>
      </c>
      <c r="M106" s="25">
        <v>31</v>
      </c>
      <c r="N106" s="26">
        <v>1</v>
      </c>
      <c r="O106" s="25">
        <v>68</v>
      </c>
      <c r="P106" s="26">
        <v>1</v>
      </c>
      <c r="Q106" s="25">
        <v>50</v>
      </c>
      <c r="R106" s="26">
        <v>1</v>
      </c>
      <c r="S106" s="25">
        <v>12</v>
      </c>
      <c r="T106" s="26">
        <v>1</v>
      </c>
    </row>
    <row r="108" spans="1:20" ht="16" customHeight="1" x14ac:dyDescent="0.2">
      <c r="A108" s="30" t="s">
        <v>343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1:20" ht="14" customHeight="1" x14ac:dyDescent="0.2">
      <c r="A109" s="10">
        <v>8</v>
      </c>
      <c r="B109" s="24">
        <v>7</v>
      </c>
      <c r="C109" s="10">
        <v>64</v>
      </c>
      <c r="D109" s="24">
        <v>6</v>
      </c>
      <c r="E109" s="10">
        <v>55</v>
      </c>
      <c r="F109" s="24">
        <v>6</v>
      </c>
      <c r="G109" s="10">
        <v>6</v>
      </c>
      <c r="H109" s="24">
        <v>6</v>
      </c>
      <c r="I109" s="10">
        <v>80</v>
      </c>
      <c r="J109" s="24">
        <v>6</v>
      </c>
      <c r="K109" s="10">
        <v>47</v>
      </c>
      <c r="L109" s="24">
        <v>5</v>
      </c>
      <c r="M109" s="10">
        <v>70</v>
      </c>
      <c r="N109" s="24">
        <v>5</v>
      </c>
      <c r="O109" s="10">
        <v>85</v>
      </c>
      <c r="P109" s="24">
        <v>5</v>
      </c>
      <c r="Q109" s="10">
        <v>78</v>
      </c>
      <c r="R109" s="24">
        <v>5</v>
      </c>
      <c r="S109" s="10">
        <v>71</v>
      </c>
      <c r="T109" s="24">
        <v>5</v>
      </c>
    </row>
    <row r="110" spans="1:20" ht="14" customHeight="1" x14ac:dyDescent="0.2">
      <c r="A110" s="25">
        <v>43</v>
      </c>
      <c r="B110" s="26">
        <v>1</v>
      </c>
      <c r="C110" s="25">
        <v>79</v>
      </c>
      <c r="D110" s="26">
        <v>1</v>
      </c>
      <c r="E110" s="25">
        <v>17</v>
      </c>
      <c r="F110" s="26">
        <v>1</v>
      </c>
      <c r="G110" s="25">
        <v>83</v>
      </c>
      <c r="H110" s="26">
        <v>1</v>
      </c>
      <c r="I110" s="25">
        <v>90</v>
      </c>
      <c r="J110" s="26">
        <v>1</v>
      </c>
      <c r="K110" s="25">
        <v>60</v>
      </c>
      <c r="L110" s="26">
        <v>1</v>
      </c>
      <c r="M110" s="25">
        <v>26</v>
      </c>
      <c r="N110" s="26">
        <v>1</v>
      </c>
      <c r="O110" s="25">
        <v>66</v>
      </c>
      <c r="P110" s="26">
        <v>1</v>
      </c>
      <c r="Q110" s="25">
        <v>58</v>
      </c>
      <c r="R110" s="26">
        <v>1</v>
      </c>
      <c r="S110" s="25">
        <v>21</v>
      </c>
      <c r="T110" s="26">
        <v>1</v>
      </c>
    </row>
    <row r="112" spans="1:20" ht="16" customHeight="1" x14ac:dyDescent="0.2">
      <c r="A112" s="29" t="s">
        <v>344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1:20" ht="14" customHeight="1" x14ac:dyDescent="0.2">
      <c r="A113" s="10">
        <v>77</v>
      </c>
      <c r="B113" s="24">
        <v>10</v>
      </c>
      <c r="C113" s="10">
        <v>69</v>
      </c>
      <c r="D113" s="24">
        <v>8</v>
      </c>
      <c r="E113" s="10">
        <v>18</v>
      </c>
      <c r="F113" s="24">
        <v>6</v>
      </c>
      <c r="G113" s="10">
        <v>12</v>
      </c>
      <c r="H113" s="24">
        <v>6</v>
      </c>
      <c r="I113" s="10">
        <v>20</v>
      </c>
      <c r="J113" s="24">
        <v>6</v>
      </c>
      <c r="K113" s="10">
        <v>53</v>
      </c>
      <c r="L113" s="24">
        <v>5</v>
      </c>
      <c r="M113" s="10">
        <v>23</v>
      </c>
      <c r="N113" s="24">
        <v>5</v>
      </c>
      <c r="O113" s="10">
        <v>8</v>
      </c>
      <c r="P113" s="24">
        <v>5</v>
      </c>
      <c r="Q113" s="10">
        <v>24</v>
      </c>
      <c r="R113" s="24">
        <v>5</v>
      </c>
      <c r="S113" s="10">
        <v>5</v>
      </c>
      <c r="T113" s="24">
        <v>5</v>
      </c>
    </row>
    <row r="114" spans="1:20" ht="14" customHeight="1" x14ac:dyDescent="0.2">
      <c r="A114" s="25">
        <v>54</v>
      </c>
      <c r="B114" s="26">
        <v>1</v>
      </c>
      <c r="C114" s="25">
        <v>42</v>
      </c>
      <c r="D114" s="26">
        <v>1</v>
      </c>
      <c r="E114" s="25">
        <v>65</v>
      </c>
      <c r="F114" s="26">
        <v>1</v>
      </c>
      <c r="G114" s="25">
        <v>36</v>
      </c>
      <c r="H114" s="26">
        <v>1</v>
      </c>
      <c r="I114" s="25">
        <v>51</v>
      </c>
      <c r="J114" s="26">
        <v>1</v>
      </c>
      <c r="K114" s="25">
        <v>85</v>
      </c>
      <c r="L114" s="26">
        <v>1</v>
      </c>
      <c r="M114" s="25">
        <v>60</v>
      </c>
      <c r="N114" s="26">
        <v>1</v>
      </c>
      <c r="O114" s="25">
        <v>39</v>
      </c>
      <c r="P114" s="26">
        <v>1</v>
      </c>
      <c r="Q114" s="25">
        <v>90</v>
      </c>
      <c r="R114" s="26">
        <v>1</v>
      </c>
      <c r="S114" s="25">
        <v>62</v>
      </c>
      <c r="T114" s="26">
        <v>1</v>
      </c>
    </row>
    <row r="116" spans="1:20" ht="16" customHeight="1" x14ac:dyDescent="0.2">
      <c r="A116" s="31" t="s">
        <v>345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1:20" ht="14" customHeight="1" x14ac:dyDescent="0.2">
      <c r="A117" s="10">
        <v>31</v>
      </c>
      <c r="B117" s="24">
        <v>5</v>
      </c>
      <c r="C117" s="10">
        <v>47</v>
      </c>
      <c r="D117" s="24">
        <v>4</v>
      </c>
      <c r="E117" s="10">
        <v>89</v>
      </c>
      <c r="F117" s="24">
        <v>4</v>
      </c>
      <c r="G117" s="10">
        <v>76</v>
      </c>
      <c r="H117" s="24">
        <v>4</v>
      </c>
      <c r="I117" s="10">
        <v>69</v>
      </c>
      <c r="J117" s="24">
        <v>3</v>
      </c>
      <c r="K117" s="10">
        <v>37</v>
      </c>
      <c r="L117" s="24">
        <v>3</v>
      </c>
      <c r="M117" s="10">
        <v>49</v>
      </c>
      <c r="N117" s="24">
        <v>3</v>
      </c>
      <c r="O117" s="10">
        <v>77</v>
      </c>
      <c r="P117" s="24">
        <v>3</v>
      </c>
      <c r="Q117" s="10">
        <v>17</v>
      </c>
      <c r="R117" s="24">
        <v>3</v>
      </c>
      <c r="S117" s="10">
        <v>83</v>
      </c>
      <c r="T117" s="24">
        <v>3</v>
      </c>
    </row>
    <row r="118" spans="1:20" ht="14" customHeight="1" x14ac:dyDescent="0.2">
      <c r="A118" s="25">
        <v>79</v>
      </c>
      <c r="B118" s="26">
        <v>1</v>
      </c>
      <c r="C118" s="25">
        <v>84</v>
      </c>
      <c r="D118" s="26">
        <v>1</v>
      </c>
      <c r="E118" s="25">
        <v>18</v>
      </c>
      <c r="F118" s="26">
        <v>1</v>
      </c>
      <c r="G118" s="25">
        <v>15</v>
      </c>
      <c r="H118" s="26">
        <v>1</v>
      </c>
      <c r="I118" s="25">
        <v>82</v>
      </c>
      <c r="J118" s="26">
        <v>1</v>
      </c>
      <c r="K118" s="25">
        <v>61</v>
      </c>
      <c r="L118" s="26">
        <v>1</v>
      </c>
      <c r="M118" s="25">
        <v>34</v>
      </c>
      <c r="N118" s="26">
        <v>1</v>
      </c>
      <c r="O118" s="25">
        <v>60</v>
      </c>
      <c r="P118" s="26">
        <v>1</v>
      </c>
      <c r="Q118" s="25">
        <v>57</v>
      </c>
      <c r="R118" s="26">
        <v>1</v>
      </c>
      <c r="S118" s="25">
        <v>24</v>
      </c>
      <c r="T118" s="26">
        <v>1</v>
      </c>
    </row>
  </sheetData>
  <mergeCells count="8">
    <mergeCell ref="A112:S112"/>
    <mergeCell ref="A108:S108"/>
    <mergeCell ref="A116:S116"/>
    <mergeCell ref="A103:S103"/>
    <mergeCell ref="A1:S1"/>
    <mergeCell ref="A2:G2"/>
    <mergeCell ref="A104:S104"/>
    <mergeCell ref="I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6"/>
  <sheetViews>
    <sheetView zoomScale="200" zoomScaleNormal="200" workbookViewId="0">
      <pane xSplit="9" ySplit="3" topLeftCell="J5" activePane="bottomRight" state="frozen"/>
      <selection pane="topRight"/>
      <selection pane="bottomLeft"/>
      <selection pane="bottomRight" activeCell="L20" sqref="L20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38" t="s">
        <v>28</v>
      </c>
      <c r="B6" s="3" t="s">
        <v>29</v>
      </c>
      <c r="C6" s="3">
        <v>9</v>
      </c>
      <c r="D6" s="40">
        <v>45</v>
      </c>
      <c r="E6" s="39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35" t="s">
        <v>36</v>
      </c>
      <c r="B7" s="6" t="s">
        <v>37</v>
      </c>
      <c r="C7" s="36">
        <v>4</v>
      </c>
      <c r="D7" s="6">
        <v>17</v>
      </c>
      <c r="E7" s="37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41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4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38" t="s">
        <v>76</v>
      </c>
      <c r="B12" s="37" t="s">
        <v>77</v>
      </c>
      <c r="C12" s="46">
        <v>25</v>
      </c>
      <c r="D12" s="41">
        <v>81</v>
      </c>
      <c r="E12" s="41">
        <v>71</v>
      </c>
      <c r="F12" s="41">
        <v>11</v>
      </c>
      <c r="G12" s="46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41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38" t="s">
        <v>116</v>
      </c>
      <c r="B17" s="6" t="s">
        <v>117</v>
      </c>
      <c r="C17" s="6">
        <v>2</v>
      </c>
      <c r="D17" s="40">
        <v>42</v>
      </c>
      <c r="E17" s="39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35" t="s">
        <v>124</v>
      </c>
      <c r="B18" s="3" t="s">
        <v>125</v>
      </c>
      <c r="C18" s="36">
        <v>8</v>
      </c>
      <c r="D18" s="37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43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42">
        <v>11</v>
      </c>
      <c r="E20" s="43">
        <v>5</v>
      </c>
      <c r="F20" s="46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38" t="s">
        <v>148</v>
      </c>
      <c r="B21" s="37" t="s">
        <v>149</v>
      </c>
      <c r="C21" s="46">
        <v>25</v>
      </c>
      <c r="D21" s="43">
        <v>5</v>
      </c>
      <c r="E21" s="47">
        <v>46</v>
      </c>
      <c r="F21" s="41">
        <v>49</v>
      </c>
      <c r="G21" s="41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41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39">
        <v>43</v>
      </c>
      <c r="F27" s="43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38" t="s">
        <v>204</v>
      </c>
      <c r="B28" s="3" t="s">
        <v>205</v>
      </c>
      <c r="C28" s="3">
        <v>34</v>
      </c>
      <c r="D28" s="46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38" t="s">
        <v>346</v>
      </c>
      <c r="B29" s="48"/>
      <c r="C29" s="45">
        <v>25</v>
      </c>
      <c r="D29" s="44" t="s">
        <v>347</v>
      </c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>
        <v>10</v>
      </c>
      <c r="D31" s="7">
        <v>1</v>
      </c>
      <c r="E31" s="7">
        <v>46</v>
      </c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>
        <v>5</v>
      </c>
      <c r="D32" s="8">
        <v>50</v>
      </c>
      <c r="E32" s="8">
        <v>5</v>
      </c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>
        <v>80</v>
      </c>
      <c r="D35" s="7">
        <v>8</v>
      </c>
      <c r="E35" s="7">
        <v>53</v>
      </c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>
        <v>23</v>
      </c>
      <c r="D36" s="8">
        <v>32</v>
      </c>
      <c r="E36" s="8">
        <v>77</v>
      </c>
      <c r="F36" s="8"/>
      <c r="G36" s="8"/>
      <c r="H36" s="8" cm="1">
        <f t="array" aca="1" ref="H36" ca="1">+H36:H38</f>
        <v>0</v>
      </c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>
        <v>23</v>
      </c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C38" s="44">
        <v>10</v>
      </c>
      <c r="D38" s="44">
        <v>19</v>
      </c>
      <c r="E38" s="8">
        <v>28</v>
      </c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>
        <v>28</v>
      </c>
      <c r="D39" s="44">
        <v>37</v>
      </c>
      <c r="E39" s="44">
        <v>46</v>
      </c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>
        <v>46</v>
      </c>
      <c r="D40" s="8">
        <v>55</v>
      </c>
      <c r="E40" s="8">
        <v>64</v>
      </c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48" t="s">
        <v>349</v>
      </c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48" t="s">
        <v>348</v>
      </c>
      <c r="D42" s="48">
        <v>25</v>
      </c>
      <c r="E42" s="48">
        <v>46</v>
      </c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48"/>
      <c r="D43" s="48"/>
      <c r="E43" s="48">
        <v>55</v>
      </c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48"/>
      <c r="D44" s="48"/>
      <c r="E44" s="48">
        <v>64</v>
      </c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41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CASH 2026-2023</vt:lpstr>
      <vt:lpstr>STATISTIQUES</vt:lpstr>
      <vt:lpstr>CASH 2026-2023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2026-06-30T03:37:37Z</dcterms:modified>
</cp:coreProperties>
</file>