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DD76C7F2-C182-894B-9DB7-E6ACC7FE54A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GOLD 2026-2023" sheetId="1" r:id="rId1"/>
    <sheet name="Feuil1" sheetId="3" r:id="rId2"/>
    <sheet name="GOLD taille 10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119" i="3"/>
  <c r="H118" i="3"/>
  <c r="H117" i="3"/>
  <c r="H116" i="3"/>
  <c r="H115" i="3"/>
  <c r="H114" i="3"/>
  <c r="H113" i="3"/>
  <c r="H112" i="3"/>
  <c r="H111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AY33" i="3"/>
  <c r="AY32" i="3"/>
  <c r="AY31" i="3"/>
  <c r="AY30" i="3"/>
  <c r="BG33" i="3"/>
  <c r="BG32" i="3"/>
  <c r="BG31" i="3"/>
  <c r="AY59" i="3"/>
  <c r="AY58" i="3"/>
  <c r="AY57" i="3"/>
  <c r="AY56" i="3"/>
  <c r="AY55" i="3"/>
  <c r="AY54" i="3"/>
  <c r="BG53" i="3"/>
  <c r="AY53" i="3"/>
  <c r="BG52" i="3"/>
  <c r="AY52" i="3"/>
  <c r="BG51" i="3"/>
  <c r="AY51" i="3"/>
  <c r="BG50" i="3"/>
  <c r="AY50" i="3"/>
  <c r="BG49" i="3"/>
  <c r="AY49" i="3"/>
  <c r="BG48" i="3"/>
  <c r="AY48" i="3"/>
  <c r="BG47" i="3"/>
  <c r="AY47" i="3"/>
  <c r="BG46" i="3"/>
  <c r="AY46" i="3"/>
  <c r="BG45" i="3"/>
  <c r="AY45" i="3"/>
  <c r="BG44" i="3"/>
  <c r="AY44" i="3"/>
  <c r="BG43" i="3"/>
  <c r="AY43" i="3"/>
  <c r="BG42" i="3"/>
  <c r="AY42" i="3"/>
  <c r="BG41" i="3"/>
  <c r="AY41" i="3"/>
  <c r="BG40" i="3"/>
  <c r="AY40" i="3"/>
  <c r="BG39" i="3"/>
  <c r="AY39" i="3"/>
  <c r="BG38" i="3"/>
  <c r="AY38" i="3"/>
  <c r="BG37" i="3"/>
  <c r="AY37" i="3"/>
  <c r="BG36" i="3"/>
  <c r="AY36" i="3"/>
  <c r="BG35" i="3"/>
  <c r="AY35" i="3"/>
  <c r="BG34" i="3"/>
  <c r="AY34" i="3"/>
  <c r="BG23" i="3"/>
  <c r="BG22" i="3"/>
  <c r="BG21" i="3"/>
  <c r="BG20" i="3"/>
  <c r="BG19" i="3"/>
  <c r="BG18" i="3"/>
  <c r="BG17" i="3"/>
  <c r="BG16" i="3"/>
  <c r="BG15" i="3"/>
  <c r="BG14" i="3"/>
  <c r="BG13" i="3"/>
  <c r="BG12" i="3"/>
  <c r="BG11" i="3"/>
  <c r="BG10" i="3"/>
  <c r="BG9" i="3"/>
  <c r="BG8" i="3"/>
  <c r="BG7" i="3"/>
  <c r="BG6" i="3"/>
  <c r="BG5" i="3"/>
  <c r="BG4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Y5" i="3"/>
  <c r="AY4" i="3"/>
  <c r="Z55" i="3"/>
  <c r="Q55" i="3"/>
  <c r="Z54" i="3"/>
  <c r="Q54" i="3"/>
  <c r="Z53" i="3"/>
  <c r="Q53" i="3"/>
  <c r="Z52" i="3"/>
  <c r="Q52" i="3"/>
  <c r="Z51" i="3"/>
  <c r="Q51" i="3"/>
  <c r="Z50" i="3"/>
  <c r="Q50" i="3"/>
  <c r="Z49" i="3"/>
  <c r="Q49" i="3"/>
  <c r="Z48" i="3"/>
  <c r="Q48" i="3"/>
  <c r="Z47" i="3"/>
  <c r="Q47" i="3"/>
  <c r="Z46" i="3"/>
  <c r="Q46" i="3"/>
  <c r="Z45" i="3"/>
  <c r="Q45" i="3"/>
  <c r="Z44" i="3"/>
  <c r="Q44" i="3"/>
  <c r="Z43" i="3"/>
  <c r="Q43" i="3"/>
  <c r="Z42" i="3"/>
  <c r="Q42" i="3"/>
  <c r="Z41" i="3"/>
  <c r="Q41" i="3"/>
  <c r="Z40" i="3"/>
  <c r="Q40" i="3"/>
  <c r="Z39" i="3"/>
  <c r="Q39" i="3"/>
  <c r="Z38" i="3"/>
  <c r="Q38" i="3"/>
  <c r="Z37" i="3"/>
  <c r="Q37" i="3"/>
  <c r="Z36" i="3"/>
  <c r="Q36" i="3"/>
  <c r="Z35" i="3"/>
  <c r="Q35" i="3"/>
  <c r="Z34" i="3"/>
  <c r="Q34" i="3"/>
  <c r="Z33" i="3"/>
  <c r="Q33" i="3"/>
  <c r="Z32" i="3"/>
  <c r="Q32" i="3"/>
  <c r="Z31" i="3"/>
  <c r="Q31" i="3"/>
  <c r="Z30" i="3"/>
  <c r="Q30" i="3"/>
  <c r="AI29" i="3"/>
  <c r="Z29" i="3"/>
  <c r="Q29" i="3"/>
  <c r="H29" i="3"/>
  <c r="AI28" i="3"/>
  <c r="Z28" i="3"/>
  <c r="Q28" i="3"/>
  <c r="H28" i="3"/>
  <c r="AI27" i="3"/>
  <c r="Z27" i="3"/>
  <c r="Q27" i="3"/>
  <c r="H27" i="3"/>
  <c r="AI26" i="3"/>
  <c r="Z26" i="3"/>
  <c r="Q26" i="3"/>
  <c r="H26" i="3"/>
  <c r="AI25" i="3"/>
  <c r="Z25" i="3"/>
  <c r="Q25" i="3"/>
  <c r="H25" i="3"/>
  <c r="AI24" i="3"/>
  <c r="Z24" i="3"/>
  <c r="Q24" i="3"/>
  <c r="H24" i="3"/>
  <c r="AQ23" i="3"/>
  <c r="AI23" i="3"/>
  <c r="Z23" i="3"/>
  <c r="Q23" i="3"/>
  <c r="H23" i="3"/>
  <c r="AQ22" i="3"/>
  <c r="AI22" i="3"/>
  <c r="Z22" i="3"/>
  <c r="Q22" i="3"/>
  <c r="H22" i="3"/>
  <c r="AQ21" i="3"/>
  <c r="AI21" i="3"/>
  <c r="Z21" i="3"/>
  <c r="Q21" i="3"/>
  <c r="H21" i="3"/>
  <c r="AQ20" i="3"/>
  <c r="AI20" i="3"/>
  <c r="Z20" i="3"/>
  <c r="Q20" i="3"/>
  <c r="H20" i="3"/>
  <c r="AQ19" i="3"/>
  <c r="AI19" i="3"/>
  <c r="Z19" i="3"/>
  <c r="Q19" i="3"/>
  <c r="H19" i="3"/>
  <c r="AQ18" i="3"/>
  <c r="AI18" i="3"/>
  <c r="Z18" i="3"/>
  <c r="Q18" i="3"/>
  <c r="H18" i="3"/>
  <c r="AQ17" i="3"/>
  <c r="AI17" i="3"/>
  <c r="Z17" i="3"/>
  <c r="Q17" i="3"/>
  <c r="H17" i="3"/>
  <c r="AQ16" i="3"/>
  <c r="AI16" i="3"/>
  <c r="Z16" i="3"/>
  <c r="Q16" i="3"/>
  <c r="H16" i="3"/>
  <c r="AQ15" i="3"/>
  <c r="AI15" i="3"/>
  <c r="Z15" i="3"/>
  <c r="Q15" i="3"/>
  <c r="H15" i="3"/>
  <c r="AQ14" i="3"/>
  <c r="AI14" i="3"/>
  <c r="Z14" i="3"/>
  <c r="Q14" i="3"/>
  <c r="H14" i="3"/>
  <c r="AQ13" i="3"/>
  <c r="AI13" i="3"/>
  <c r="Z13" i="3"/>
  <c r="Q13" i="3"/>
  <c r="H13" i="3"/>
  <c r="AQ12" i="3"/>
  <c r="AI12" i="3"/>
  <c r="Z12" i="3"/>
  <c r="Q12" i="3"/>
  <c r="H12" i="3"/>
  <c r="AQ11" i="3"/>
  <c r="AI11" i="3"/>
  <c r="Z11" i="3"/>
  <c r="Q11" i="3"/>
  <c r="H11" i="3"/>
  <c r="AQ10" i="3"/>
  <c r="AI10" i="3"/>
  <c r="Z10" i="3"/>
  <c r="Q10" i="3"/>
  <c r="H10" i="3"/>
  <c r="AQ9" i="3"/>
  <c r="AI9" i="3"/>
  <c r="Z9" i="3"/>
  <c r="Q9" i="3"/>
  <c r="H9" i="3"/>
  <c r="AQ8" i="3"/>
  <c r="AI8" i="3"/>
  <c r="Z8" i="3"/>
  <c r="Q8" i="3"/>
  <c r="H8" i="3"/>
  <c r="AQ7" i="3"/>
  <c r="AI7" i="3"/>
  <c r="Z7" i="3"/>
  <c r="Q7" i="3"/>
  <c r="H7" i="3"/>
  <c r="AQ6" i="3"/>
  <c r="AI6" i="3"/>
  <c r="Z6" i="3"/>
  <c r="Q6" i="3"/>
  <c r="H6" i="3"/>
  <c r="AQ5" i="3"/>
  <c r="AI5" i="3"/>
  <c r="Z5" i="3"/>
  <c r="Q5" i="3"/>
  <c r="H5" i="3"/>
  <c r="AQ4" i="3"/>
  <c r="AI4" i="3"/>
  <c r="Z4" i="3"/>
  <c r="Q4" i="3"/>
  <c r="H4" i="3"/>
  <c r="AQ4" i="1"/>
  <c r="H29" i="1"/>
  <c r="H29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<sst xmlns="http://schemas.openxmlformats.org/spreadsheetml/2006/main" count="1535" uniqueCount="390">
  <si>
    <t>2026</t>
  </si>
  <si>
    <t>2025</t>
  </si>
  <si>
    <t>2024</t>
  </si>
  <si>
    <t>2023</t>
  </si>
  <si>
    <t>GLD</t>
  </si>
  <si>
    <t>DATE</t>
  </si>
  <si>
    <t>N1</t>
  </si>
  <si>
    <t>N2</t>
  </si>
  <si>
    <t>N3</t>
  </si>
  <si>
    <t>N4</t>
  </si>
  <si>
    <t>N5</t>
  </si>
  <si>
    <t>TOTAL</t>
  </si>
  <si>
    <t>GLD 131</t>
  </si>
  <si>
    <t>05/01/2026</t>
  </si>
  <si>
    <t>GLD 079</t>
  </si>
  <si>
    <t>06/01/2025</t>
  </si>
  <si>
    <t>GLD 027</t>
  </si>
  <si>
    <t>01/01/2024</t>
  </si>
  <si>
    <t>GLD 001</t>
  </si>
  <si>
    <t>03/07/2023</t>
  </si>
  <si>
    <t>GLD 132</t>
  </si>
  <si>
    <t>12/01/2026</t>
  </si>
  <si>
    <t>GLD 080</t>
  </si>
  <si>
    <t>13/01/2025</t>
  </si>
  <si>
    <t>GLD 028</t>
  </si>
  <si>
    <t>08/01/2024</t>
  </si>
  <si>
    <t>GLD 002</t>
  </si>
  <si>
    <t>10/07/2023</t>
  </si>
  <si>
    <t>GLD 133</t>
  </si>
  <si>
    <t>19/01/2026</t>
  </si>
  <si>
    <t>GLD 081</t>
  </si>
  <si>
    <t>20/01/2025</t>
  </si>
  <si>
    <t>GLD 029</t>
  </si>
  <si>
    <t>15/01/2024</t>
  </si>
  <si>
    <t>GLD 003</t>
  </si>
  <si>
    <t>17/07/2023</t>
  </si>
  <si>
    <t>GLD 134</t>
  </si>
  <si>
    <t>26/01/2026</t>
  </si>
  <si>
    <t>GLD 082</t>
  </si>
  <si>
    <t>27/01/2025</t>
  </si>
  <si>
    <t>GLD 030</t>
  </si>
  <si>
    <t>22/01/2024</t>
  </si>
  <si>
    <t>GLD 004</t>
  </si>
  <si>
    <t>24/07/2023</t>
  </si>
  <si>
    <t>GLD 135</t>
  </si>
  <si>
    <t>02/02/2026</t>
  </si>
  <si>
    <t>GLD 083</t>
  </si>
  <si>
    <t>03/02/2025</t>
  </si>
  <si>
    <t>GLD 031</t>
  </si>
  <si>
    <t>29/01/2024</t>
  </si>
  <si>
    <t>GLD 005</t>
  </si>
  <si>
    <t>31/07/2023</t>
  </si>
  <si>
    <t>GLD 136</t>
  </si>
  <si>
    <t>09/02/2026</t>
  </si>
  <si>
    <t>GLD 084</t>
  </si>
  <si>
    <t>10/02/2025</t>
  </si>
  <si>
    <t>GLD 032</t>
  </si>
  <si>
    <t>05/02/2024</t>
  </si>
  <si>
    <t>GLD 006</t>
  </si>
  <si>
    <t>07/08/2023</t>
  </si>
  <si>
    <t>GLD 137</t>
  </si>
  <si>
    <t>16/02/2026</t>
  </si>
  <si>
    <t>GLD 085</t>
  </si>
  <si>
    <t>17/02/2025</t>
  </si>
  <si>
    <t>GLD 033</t>
  </si>
  <si>
    <t>12/02/2024</t>
  </si>
  <si>
    <t>GLD 007</t>
  </si>
  <si>
    <t>14/08/2023</t>
  </si>
  <si>
    <t>GLD 138</t>
  </si>
  <si>
    <t>23/02/2026</t>
  </si>
  <si>
    <t>GLD 086</t>
  </si>
  <si>
    <t>24/02/2025</t>
  </si>
  <si>
    <t>GLD 034</t>
  </si>
  <si>
    <t>19/02/2024</t>
  </si>
  <si>
    <t>GLD 008</t>
  </si>
  <si>
    <t>21/08/2023</t>
  </si>
  <si>
    <t>GLD 139</t>
  </si>
  <si>
    <t>02/03/2026</t>
  </si>
  <si>
    <t>GLD 087</t>
  </si>
  <si>
    <t>03/03/2025</t>
  </si>
  <si>
    <t>GLD 035</t>
  </si>
  <si>
    <t>26/02/2024</t>
  </si>
  <si>
    <t>GLD 009</t>
  </si>
  <si>
    <t>28/08/2023</t>
  </si>
  <si>
    <t>GLD 140</t>
  </si>
  <si>
    <t>09/03/2026</t>
  </si>
  <si>
    <t>GLD 088</t>
  </si>
  <si>
    <t>10/03/2025</t>
  </si>
  <si>
    <t>GLD 036</t>
  </si>
  <si>
    <t>04/03/2024</t>
  </si>
  <si>
    <t>GLD 010</t>
  </si>
  <si>
    <t>04/09/2023</t>
  </si>
  <si>
    <t>GLD 141</t>
  </si>
  <si>
    <t>16/03/2026</t>
  </si>
  <si>
    <t>GLD 089</t>
  </si>
  <si>
    <t>17/03/2025</t>
  </si>
  <si>
    <t>GLD 037</t>
  </si>
  <si>
    <t>11/03/2024</t>
  </si>
  <si>
    <t>GLD 011</t>
  </si>
  <si>
    <t>11/09/2023</t>
  </si>
  <si>
    <t>GLD 142</t>
  </si>
  <si>
    <t>23/03/2026</t>
  </si>
  <si>
    <t>GLD 090</t>
  </si>
  <si>
    <t>24/03/2025</t>
  </si>
  <si>
    <t>GLD 038</t>
  </si>
  <si>
    <t>18/03/2024</t>
  </si>
  <si>
    <t>GLD 012</t>
  </si>
  <si>
    <t>18/09/2023</t>
  </si>
  <si>
    <t>GLD 143</t>
  </si>
  <si>
    <t>30/03/2026</t>
  </si>
  <si>
    <t>GLD 091</t>
  </si>
  <si>
    <t>31/03/2025</t>
  </si>
  <si>
    <t>GLD 039</t>
  </si>
  <si>
    <t>25/03/2024</t>
  </si>
  <si>
    <t>GLD 013</t>
  </si>
  <si>
    <t>25/09/2023</t>
  </si>
  <si>
    <t>GLD 144</t>
  </si>
  <si>
    <t>06/04/2026</t>
  </si>
  <si>
    <t>GLD 092</t>
  </si>
  <si>
    <t>07/04/2025</t>
  </si>
  <si>
    <t>GLD 040</t>
  </si>
  <si>
    <t>01/04/2024</t>
  </si>
  <si>
    <t>GLD 014</t>
  </si>
  <si>
    <t>02/10/2023</t>
  </si>
  <si>
    <t>GLD 145</t>
  </si>
  <si>
    <t>13/04/2026</t>
  </si>
  <si>
    <t>GLD 093</t>
  </si>
  <si>
    <t>14/04/2025</t>
  </si>
  <si>
    <t>GLD 041</t>
  </si>
  <si>
    <t>08/04/2024</t>
  </si>
  <si>
    <t>GLD 015</t>
  </si>
  <si>
    <t>09/10/2023</t>
  </si>
  <si>
    <t>GLD 146</t>
  </si>
  <si>
    <t>20/04/2026</t>
  </si>
  <si>
    <t>GLD 094</t>
  </si>
  <si>
    <t>21/04/2025</t>
  </si>
  <si>
    <t>GLD 042</t>
  </si>
  <si>
    <t>15/04/2024</t>
  </si>
  <si>
    <t>GLD 016</t>
  </si>
  <si>
    <t>16/10/2023</t>
  </si>
  <si>
    <t>GLD 147</t>
  </si>
  <si>
    <t>27/04/2026</t>
  </si>
  <si>
    <t>GLD 095</t>
  </si>
  <si>
    <t>28/04/2025</t>
  </si>
  <si>
    <t>GLD 043</t>
  </si>
  <si>
    <t>22/04/2024</t>
  </si>
  <si>
    <t>GLD 017</t>
  </si>
  <si>
    <t>23/10/2023</t>
  </si>
  <si>
    <t>GLD 148</t>
  </si>
  <si>
    <t>04/05/2026</t>
  </si>
  <si>
    <t>GLD 096</t>
  </si>
  <si>
    <t>05/05/2025</t>
  </si>
  <si>
    <t>GLD 044</t>
  </si>
  <si>
    <t>06/05/2024</t>
  </si>
  <si>
    <t>GLD 018</t>
  </si>
  <si>
    <t>30/10/2023</t>
  </si>
  <si>
    <t>GLD 149</t>
  </si>
  <si>
    <t>11/05/2026</t>
  </si>
  <si>
    <t>GLD 097</t>
  </si>
  <si>
    <t>12/05/2025</t>
  </si>
  <si>
    <t>GLD 045</t>
  </si>
  <si>
    <t>13/05/2024</t>
  </si>
  <si>
    <t>GLD 019</t>
  </si>
  <si>
    <t>06/11/2023</t>
  </si>
  <si>
    <t>GLD 150</t>
  </si>
  <si>
    <t>18/05/2026</t>
  </si>
  <si>
    <t>GLD 098</t>
  </si>
  <si>
    <t>19/05/2025</t>
  </si>
  <si>
    <t>GLD 046</t>
  </si>
  <si>
    <t>20/05/2024</t>
  </si>
  <si>
    <t>GLD 020</t>
  </si>
  <si>
    <t>13/11/2023</t>
  </si>
  <si>
    <t>GLD 151</t>
  </si>
  <si>
    <t>25/05/2026</t>
  </si>
  <si>
    <t>GLD 099</t>
  </si>
  <si>
    <t>26/05/2025</t>
  </si>
  <si>
    <t>GLD 047</t>
  </si>
  <si>
    <t>27/05/2024</t>
  </si>
  <si>
    <t>GLD 021</t>
  </si>
  <si>
    <t>20/11/2023</t>
  </si>
  <si>
    <t>GLD 152</t>
  </si>
  <si>
    <t>01/06/2026</t>
  </si>
  <si>
    <t>GLD 100</t>
  </si>
  <si>
    <t>02/06/2025</t>
  </si>
  <si>
    <t>GLD 048</t>
  </si>
  <si>
    <t>03/06/2024</t>
  </si>
  <si>
    <t>GLD 022</t>
  </si>
  <si>
    <t>27/11/2023</t>
  </si>
  <si>
    <t>GLD 153</t>
  </si>
  <si>
    <t>08/06/2026</t>
  </si>
  <si>
    <t>GLD 101</t>
  </si>
  <si>
    <t>09/06/2025</t>
  </si>
  <si>
    <t>GLD 049</t>
  </si>
  <si>
    <t>10/06/2024</t>
  </si>
  <si>
    <t>GLD 023</t>
  </si>
  <si>
    <t>04/12/2023</t>
  </si>
  <si>
    <t>GLD 154</t>
  </si>
  <si>
    <t>15/06/2026</t>
  </si>
  <si>
    <t>GLD 102</t>
  </si>
  <si>
    <t>16/06/2025</t>
  </si>
  <si>
    <t>GLD 050</t>
  </si>
  <si>
    <t>17/06/2024</t>
  </si>
  <si>
    <t>GLD 024</t>
  </si>
  <si>
    <t>11/12/2023</t>
  </si>
  <si>
    <t>GLD 155</t>
  </si>
  <si>
    <t>22/06/2026</t>
  </si>
  <si>
    <t>GLD 103</t>
  </si>
  <si>
    <t>23/06/2025</t>
  </si>
  <si>
    <t>GLD 051</t>
  </si>
  <si>
    <t>24/06/2024</t>
  </si>
  <si>
    <t>GLD 025</t>
  </si>
  <si>
    <t>18/12/2023</t>
  </si>
  <si>
    <t>GLD 104</t>
  </si>
  <si>
    <t>30/06/2025</t>
  </si>
  <si>
    <t>GLD 052</t>
  </si>
  <si>
    <t>01/07/2024</t>
  </si>
  <si>
    <t>GLD 026</t>
  </si>
  <si>
    <t>25/12/2023</t>
  </si>
  <si>
    <t>GLD 105</t>
  </si>
  <si>
    <t>07/07/2025</t>
  </si>
  <si>
    <t>GLD 053</t>
  </si>
  <si>
    <t>08/07/2024</t>
  </si>
  <si>
    <t>GLD 106</t>
  </si>
  <si>
    <t>14/07/2025</t>
  </si>
  <si>
    <t>GLD 054</t>
  </si>
  <si>
    <t>15/07/2024</t>
  </si>
  <si>
    <t>GLD 107</t>
  </si>
  <si>
    <t>21/07/2025</t>
  </si>
  <si>
    <t>GLD 055</t>
  </si>
  <si>
    <t>22/07/2024</t>
  </si>
  <si>
    <t>GLD 108</t>
  </si>
  <si>
    <t>28/07/2025</t>
  </si>
  <si>
    <t>GLD 056</t>
  </si>
  <si>
    <t>29/07/2024</t>
  </si>
  <si>
    <t>GLD 109</t>
  </si>
  <si>
    <t>04/08/2025</t>
  </si>
  <si>
    <t>GLD 057</t>
  </si>
  <si>
    <t>05/08/2024</t>
  </si>
  <si>
    <t>GLD 110</t>
  </si>
  <si>
    <t>11/08/2025</t>
  </si>
  <si>
    <t>GLD 058</t>
  </si>
  <si>
    <t>12/08/2024</t>
  </si>
  <si>
    <t>GLD 111</t>
  </si>
  <si>
    <t>18/08/2025</t>
  </si>
  <si>
    <t>GLD 059</t>
  </si>
  <si>
    <t>19/08/2024</t>
  </si>
  <si>
    <t>GLD 112</t>
  </si>
  <si>
    <t>25/08/2025</t>
  </si>
  <si>
    <t>GLD 060</t>
  </si>
  <si>
    <t>26/08/2024</t>
  </si>
  <si>
    <t>GLD 113</t>
  </si>
  <si>
    <t>01/09/2025</t>
  </si>
  <si>
    <t>GLD 061</t>
  </si>
  <si>
    <t>02/09/2024</t>
  </si>
  <si>
    <t>GLD 114</t>
  </si>
  <si>
    <t>08/09/2025</t>
  </si>
  <si>
    <t>GLD 062</t>
  </si>
  <si>
    <t>09/09/2024</t>
  </si>
  <si>
    <t>GLD 115</t>
  </si>
  <si>
    <t>15/09/2025</t>
  </si>
  <si>
    <t>GLD 063</t>
  </si>
  <si>
    <t>16/09/2024</t>
  </si>
  <si>
    <t>GLD 116</t>
  </si>
  <si>
    <t>22/09/2025</t>
  </si>
  <si>
    <t>GLD 064</t>
  </si>
  <si>
    <t>23/09/2024</t>
  </si>
  <si>
    <t>GLD 117</t>
  </si>
  <si>
    <t>29/09/2025</t>
  </si>
  <si>
    <t>GLD 065</t>
  </si>
  <si>
    <t>30/09/2024</t>
  </si>
  <si>
    <t>GLD 118</t>
  </si>
  <si>
    <t>06/10/2025</t>
  </si>
  <si>
    <t>GLD 066</t>
  </si>
  <si>
    <t>07/10/2024</t>
  </si>
  <si>
    <t>GLD 119</t>
  </si>
  <si>
    <t>13/10/2025</t>
  </si>
  <si>
    <t>GLD 067</t>
  </si>
  <si>
    <t>14/10/2024</t>
  </si>
  <si>
    <t>GLD 120</t>
  </si>
  <si>
    <t>20/10/2025</t>
  </si>
  <si>
    <t>GLD 068</t>
  </si>
  <si>
    <t>21/10/2024</t>
  </si>
  <si>
    <t>GLD 121</t>
  </si>
  <si>
    <t>27/10/2025</t>
  </si>
  <si>
    <t>GLD 069</t>
  </si>
  <si>
    <t>28/10/2024</t>
  </si>
  <si>
    <t>GLD 122</t>
  </si>
  <si>
    <t>03/11/2025</t>
  </si>
  <si>
    <t>GLD 070</t>
  </si>
  <si>
    <t>04/11/2024</t>
  </si>
  <si>
    <t>GLD 123</t>
  </si>
  <si>
    <t>10/11/2025</t>
  </si>
  <si>
    <t>GLD 071</t>
  </si>
  <si>
    <t>11/11/2024</t>
  </si>
  <si>
    <t>GLD 124</t>
  </si>
  <si>
    <t>17/11/2025</t>
  </si>
  <si>
    <t>GLD 072</t>
  </si>
  <si>
    <t>18/11/2024</t>
  </si>
  <si>
    <t>GLD 125</t>
  </si>
  <si>
    <t>24/11/2025</t>
  </si>
  <si>
    <t>GLD 073</t>
  </si>
  <si>
    <t>25/11/2024</t>
  </si>
  <si>
    <t>GLD 126</t>
  </si>
  <si>
    <t>01/12/2025</t>
  </si>
  <si>
    <t>GLD 074</t>
  </si>
  <si>
    <t>02/12/2024</t>
  </si>
  <si>
    <t>GLD 127</t>
  </si>
  <si>
    <t>08/12/2025</t>
  </si>
  <si>
    <t>GLD 075</t>
  </si>
  <si>
    <t>09/12/2024</t>
  </si>
  <si>
    <t>GLD 128</t>
  </si>
  <si>
    <t>15/12/2025</t>
  </si>
  <si>
    <t>GLD 076</t>
  </si>
  <si>
    <t>16/12/2024</t>
  </si>
  <si>
    <t>GLD 129</t>
  </si>
  <si>
    <t>22/12/2025</t>
  </si>
  <si>
    <t>GLD 077</t>
  </si>
  <si>
    <t>23/12/2024</t>
  </si>
  <si>
    <t>GLD 130</t>
  </si>
  <si>
    <t>29/12/2025</t>
  </si>
  <si>
    <t>GLD 078</t>
  </si>
  <si>
    <t>30/12/2024</t>
  </si>
  <si>
    <t xml:space="preserve">   </t>
  </si>
  <si>
    <t>2006</t>
  </si>
  <si>
    <t>DIA</t>
  </si>
  <si>
    <t>DIA 0255</t>
  </si>
  <si>
    <t>02/01/2006</t>
  </si>
  <si>
    <t>DIA 0256</t>
  </si>
  <si>
    <t>09/01/2006</t>
  </si>
  <si>
    <t>DIA 0257</t>
  </si>
  <si>
    <t>16/01/2006</t>
  </si>
  <si>
    <t>DIA 0258</t>
  </si>
  <si>
    <t>23/01/2006</t>
  </si>
  <si>
    <t>DIA 0259</t>
  </si>
  <si>
    <t>30/01/2006</t>
  </si>
  <si>
    <t>DIA 0260</t>
  </si>
  <si>
    <t>06/02/2006</t>
  </si>
  <si>
    <t>DIA 0261</t>
  </si>
  <si>
    <t>13/02/2006</t>
  </si>
  <si>
    <t>DIA 0262</t>
  </si>
  <si>
    <t>20/02/2006</t>
  </si>
  <si>
    <t>DIA 0263</t>
  </si>
  <si>
    <t>27/02/2006</t>
  </si>
  <si>
    <t>DIA 0264</t>
  </si>
  <si>
    <t>06/03/2006</t>
  </si>
  <si>
    <t>DIA 0265</t>
  </si>
  <si>
    <t>13/03/2006</t>
  </si>
  <si>
    <t>DIA 0266</t>
  </si>
  <si>
    <t>20/03/2006</t>
  </si>
  <si>
    <t>DIA 0267</t>
  </si>
  <si>
    <t>27/03/2006</t>
  </si>
  <si>
    <t>DIA 0268</t>
  </si>
  <si>
    <t>03/04/2006</t>
  </si>
  <si>
    <t>DIA 0269</t>
  </si>
  <si>
    <t>10/04/2006</t>
  </si>
  <si>
    <t>DIA 0270</t>
  </si>
  <si>
    <t>17/04/2006</t>
  </si>
  <si>
    <t>DIA 0271</t>
  </si>
  <si>
    <t>24/04/2006</t>
  </si>
  <si>
    <t>DIA 0272</t>
  </si>
  <si>
    <t>01/05/2006</t>
  </si>
  <si>
    <t>DIA 0273</t>
  </si>
  <si>
    <t>08/05/2006</t>
  </si>
  <si>
    <t>DIA 0274</t>
  </si>
  <si>
    <t>15/05/2006</t>
  </si>
  <si>
    <t>DIA 0275</t>
  </si>
  <si>
    <t>22/05/2006</t>
  </si>
  <si>
    <t>DIA 0276</t>
  </si>
  <si>
    <t>29/05/2006</t>
  </si>
  <si>
    <t>DIA 0277</t>
  </si>
  <si>
    <t>07/06/2006</t>
  </si>
  <si>
    <t>DIA 0278</t>
  </si>
  <si>
    <t>12/06/2006</t>
  </si>
  <si>
    <t>DIA 0279</t>
  </si>
  <si>
    <t>19/06/2006</t>
  </si>
  <si>
    <t>DIA 0280</t>
  </si>
  <si>
    <t>26/06/2006</t>
  </si>
  <si>
    <t>DIA 0281</t>
  </si>
  <si>
    <t>03/07/2006</t>
  </si>
  <si>
    <t>DIA 0282</t>
  </si>
  <si>
    <t>10/07/2006</t>
  </si>
  <si>
    <t>DIA 0283</t>
  </si>
  <si>
    <t>17/07/2006</t>
  </si>
  <si>
    <t>DIA 0284</t>
  </si>
  <si>
    <t>24/07/2006</t>
  </si>
  <si>
    <t>GLD 156</t>
  </si>
  <si>
    <t>GLD 157</t>
  </si>
  <si>
    <t>GLD 158</t>
  </si>
  <si>
    <t>GLD 159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</si>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</sst>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b/>
      <sz val="10"/>
      <color rgb="FF1A6BAA"/>
      <name val="Arial"/>
      <family val="2"/>
    </font>
    <font>
      <sz val="10"/>
      <color rgb="FF000000"/>
      <name val="Arial"/>
      <family val="2"/>
    </font>
    <font>
      <b/>
      <sz val="10"/>
      <color rgb="FFC0392B"/>
      <name val="Arial"/>
      <family val="2"/>
    </font>
    <font>
      <b/>
      <sz val="12"/>
      <color rgb="FFFA7D00"/>
      <name val="Calibri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2"/>
      <name val="Arial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  <font>
      <sz val="8"/>
      <name val="Calibri"/>
      <family val="2"/>
      <scheme val="minor"/>
    </font>
    <font>
      <sz val="9"/>
      <color theme="0"/>
      <name val="Arial"/>
      <family val="2"/>
    </font>
    <font>
      <sz val="10"/>
      <color theme="0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11" fillId="7" borderId="2" applyNumberFormat="0" applyAlignment="0" applyProtection="0"/>
  </cellStyleXfs>
  <cellXfs count="7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6" fillId="4" borderId="1" xfId="0" applyFont="1" applyFill="1" applyBorder="1"/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14" fontId="18" fillId="4" borderId="3" xfId="0" applyNumberFormat="1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right" vertical="center"/>
    </xf>
    <xf numFmtId="0" fontId="17" fillId="6" borderId="3" xfId="0" applyFont="1" applyFill="1" applyBorder="1" applyAlignment="1">
      <alignment horizontal="center" vertical="center"/>
    </xf>
    <xf numFmtId="14" fontId="18" fillId="6" borderId="3" xfId="0" applyNumberFormat="1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7" borderId="2" xfId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/>
    <xf numFmtId="0" fontId="9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6" fillId="15" borderId="1" xfId="0" applyFont="1" applyFill="1" applyBorder="1"/>
    <xf numFmtId="0" fontId="21" fillId="12" borderId="1" xfId="0" applyFont="1" applyFill="1" applyBorder="1" applyAlignment="1">
      <alignment horizontal="center" vertical="center"/>
    </xf>
    <xf numFmtId="0" fontId="22" fillId="12" borderId="1" xfId="0" applyFont="1" applyFill="1" applyBorder="1"/>
    <xf numFmtId="0" fontId="21" fillId="8" borderId="1" xfId="0" applyFont="1" applyFill="1" applyBorder="1" applyAlignment="1">
      <alignment horizontal="center" vertical="center"/>
    </xf>
    <xf numFmtId="0" fontId="22" fillId="8" borderId="1" xfId="0" applyFont="1" applyFill="1" applyBorder="1"/>
    <xf numFmtId="0" fontId="21" fillId="10" borderId="1" xfId="0" applyFont="1" applyFill="1" applyBorder="1" applyAlignment="1">
      <alignment horizontal="center" vertical="center"/>
    </xf>
    <xf numFmtId="0" fontId="22" fillId="10" borderId="1" xfId="0" applyFont="1" applyFill="1" applyBorder="1"/>
    <xf numFmtId="0" fontId="21" fillId="1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right" vertical="center"/>
    </xf>
    <xf numFmtId="14" fontId="13" fillId="0" borderId="1" xfId="0" applyNumberFormat="1" applyFont="1" applyBorder="1" applyAlignment="1">
      <alignment horizontal="center" vertical="center"/>
    </xf>
    <xf numFmtId="0" fontId="25" fillId="0" borderId="1" xfId="0" applyFont="1" applyBorder="1"/>
    <xf numFmtId="0" fontId="26" fillId="0" borderId="1" xfId="0" applyFont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25" fillId="17" borderId="1" xfId="0" applyFont="1" applyFill="1" applyBorder="1"/>
    <xf numFmtId="0" fontId="24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right" vertical="center"/>
    </xf>
    <xf numFmtId="14" fontId="13" fillId="18" borderId="1" xfId="0" applyNumberFormat="1" applyFont="1" applyFill="1" applyBorder="1" applyAlignment="1">
      <alignment horizontal="center" vertical="center"/>
    </xf>
    <xf numFmtId="0" fontId="25" fillId="18" borderId="1" xfId="0" applyFont="1" applyFill="1" applyBorder="1"/>
    <xf numFmtId="0" fontId="26" fillId="18" borderId="1" xfId="0" applyFont="1" applyFill="1" applyBorder="1" applyAlignment="1">
      <alignment horizontal="right" vertical="center"/>
    </xf>
    <xf numFmtId="0" fontId="23" fillId="19" borderId="1" xfId="0" applyFont="1" applyFill="1" applyBorder="1" applyAlignment="1">
      <alignment horizontal="center" vertical="center"/>
    </xf>
    <xf numFmtId="0" fontId="25" fillId="19" borderId="1" xfId="0" applyFont="1" applyFill="1" applyBorder="1"/>
    <xf numFmtId="0" fontId="21" fillId="20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7" fillId="21" borderId="0" xfId="0" applyFont="1" applyFill="1"/>
    <xf numFmtId="0" fontId="0" fillId="11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6" fillId="0" borderId="0" xfId="0" applyFont="1"/>
    <xf numFmtId="0" fontId="15" fillId="2" borderId="0" xfId="0" applyFont="1" applyFill="1" applyAlignment="1">
      <alignment horizontal="center" vertical="center"/>
    </xf>
    <xf numFmtId="14" fontId="0" fillId="4" borderId="1" xfId="0" applyNumberFormat="1" applyFill="1" applyBorder="1"/>
  </cellXfs>
  <cellStyles count="2">
    <cellStyle name="Calcul" xfId="1" builtinId="22"/>
    <cellStyle name="Normal" xfId="0" builtinId="0"/>
  </cellStyles>
  <dxfs count="52"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5"/>
  <sheetViews>
    <sheetView tabSelected="1" zoomScale="300" zoomScaleNormal="300" workbookViewId="0">
      <pane xSplit="9" ySplit="3" topLeftCell="J21" activePane="bottomRight" state="frozen"/>
      <selection pane="topRight"/>
      <selection pane="bottomLeft"/>
      <selection pane="bottomRight" activeCell="H36" sqref="H36"/>
    </sheetView>
  </sheetViews>
  <sheetFormatPr baseColWidth="10" defaultColWidth="8.83203125" defaultRowHeight="15" x14ac:dyDescent="0.2"/>
  <cols>
    <col min="1" max="1" width="7.1640625" bestFit="1" customWidth="1"/>
    <col min="2" max="2" width="10.5" bestFit="1" customWidth="1"/>
    <col min="3" max="7" width="3" bestFit="1" customWidth="1"/>
    <col min="8" max="8" width="5.83203125" bestFit="1" customWidth="1"/>
    <col min="9" max="9" width="0.5" customWidth="1"/>
    <col min="10" max="10" width="7.1640625" bestFit="1" customWidth="1"/>
    <col min="11" max="11" width="8.83203125" bestFit="1" customWidth="1"/>
    <col min="12" max="16" width="3" bestFit="1" customWidth="1"/>
    <col min="17" max="17" width="5.83203125" bestFit="1" customWidth="1"/>
    <col min="18" max="18" width="0.83203125" customWidth="1"/>
    <col min="19" max="19" width="7.1640625" bestFit="1" customWidth="1"/>
    <col min="20" max="20" width="8.83203125" bestFit="1" customWidth="1"/>
    <col min="21" max="25" width="3" bestFit="1" customWidth="1"/>
    <col min="26" max="26" width="5.83203125" bestFit="1" customWidth="1"/>
    <col min="27" max="27" width="0.83203125" customWidth="1"/>
    <col min="28" max="28" width="7.1640625" bestFit="1" customWidth="1"/>
    <col min="29" max="29" width="8.83203125" bestFit="1" customWidth="1"/>
    <col min="30" max="34" width="3" bestFit="1" customWidth="1"/>
    <col min="35" max="35" width="9.1640625" customWidth="1"/>
    <col min="36" max="36" width="7.1640625" bestFit="1" customWidth="1"/>
    <col min="37" max="37" width="10.1640625" bestFit="1" customWidth="1"/>
    <col min="38" max="42" width="2.83203125" bestFit="1" customWidth="1"/>
    <col min="43" max="43" width="3.6640625" bestFit="1" customWidth="1"/>
  </cols>
  <sheetData>
    <row r="1" spans="1:43" ht="12" customHeight="1" x14ac:dyDescent="0.2"/>
    <row r="2" spans="1:43" ht="22" customHeight="1" x14ac:dyDescent="0.2">
      <c r="A2" s="72" t="s">
        <v>0</v>
      </c>
      <c r="B2" s="73"/>
      <c r="C2" s="73"/>
      <c r="D2" s="73"/>
      <c r="E2" s="73"/>
      <c r="F2" s="73"/>
      <c r="G2" s="73"/>
      <c r="H2" s="73"/>
      <c r="J2" s="72" t="s">
        <v>1</v>
      </c>
      <c r="K2" s="73"/>
      <c r="L2" s="73"/>
      <c r="M2" s="73"/>
      <c r="N2" s="73"/>
      <c r="O2" s="73"/>
      <c r="P2" s="73"/>
      <c r="Q2" s="73"/>
      <c r="S2" s="72" t="s">
        <v>2</v>
      </c>
      <c r="T2" s="73"/>
      <c r="U2" s="73"/>
      <c r="V2" s="73"/>
      <c r="W2" s="73"/>
      <c r="X2" s="73"/>
      <c r="Y2" s="73"/>
      <c r="Z2" s="73"/>
      <c r="AB2" s="72" t="s">
        <v>3</v>
      </c>
      <c r="AC2" s="73"/>
      <c r="AD2" s="73"/>
      <c r="AE2" s="73"/>
      <c r="AF2" s="73"/>
      <c r="AG2" s="73"/>
      <c r="AH2" s="73"/>
      <c r="AI2" s="73"/>
    </row>
    <row r="3" spans="1:43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43" ht="15" customHeight="1" x14ac:dyDescent="0.2">
      <c r="A4" s="2">
        <v>131</v>
      </c>
      <c r="B4" s="3" t="s">
        <v>13</v>
      </c>
      <c r="C4" s="3">
        <v>46</v>
      </c>
      <c r="D4" s="3">
        <v>3</v>
      </c>
      <c r="E4" s="3">
        <v>53</v>
      </c>
      <c r="F4" s="3">
        <v>80</v>
      </c>
      <c r="G4" s="3">
        <v>56</v>
      </c>
      <c r="H4" s="4">
        <f t="shared" ref="H4:H29" si="0">SUM(C4:G4)</f>
        <v>238</v>
      </c>
      <c r="J4" s="2" t="s">
        <v>14</v>
      </c>
      <c r="K4" s="3" t="s">
        <v>15</v>
      </c>
      <c r="L4" s="3">
        <v>52</v>
      </c>
      <c r="M4" s="3">
        <v>90</v>
      </c>
      <c r="N4" s="3">
        <v>20</v>
      </c>
      <c r="O4" s="3">
        <v>83</v>
      </c>
      <c r="P4" s="3">
        <v>24</v>
      </c>
      <c r="Q4" s="4">
        <f t="shared" ref="Q4:Q35" si="1">SUM(L4:P4)</f>
        <v>269</v>
      </c>
      <c r="S4" s="2" t="s">
        <v>16</v>
      </c>
      <c r="T4" s="3" t="s">
        <v>17</v>
      </c>
      <c r="U4" s="3">
        <v>83</v>
      </c>
      <c r="V4" s="3">
        <v>39</v>
      </c>
      <c r="W4" s="3">
        <v>45</v>
      </c>
      <c r="X4" s="3">
        <v>53</v>
      </c>
      <c r="Y4" s="3">
        <v>67</v>
      </c>
      <c r="Z4" s="4">
        <f t="shared" ref="Z4:Z35" si="2">SUM(U4:Y4)</f>
        <v>287</v>
      </c>
      <c r="AB4" s="2" t="s">
        <v>18</v>
      </c>
      <c r="AC4" s="3" t="s">
        <v>19</v>
      </c>
      <c r="AD4" s="3">
        <v>64</v>
      </c>
      <c r="AE4" s="3">
        <v>38</v>
      </c>
      <c r="AF4" s="3">
        <v>46</v>
      </c>
      <c r="AG4" s="3">
        <v>22</v>
      </c>
      <c r="AH4" s="3">
        <v>40</v>
      </c>
      <c r="AI4" s="4">
        <f t="shared" ref="AI4:AI29" si="3">SUM(AD4:AH4)</f>
        <v>210</v>
      </c>
      <c r="AJ4" s="2" t="s">
        <v>60</v>
      </c>
      <c r="AK4" s="3" t="s">
        <v>61</v>
      </c>
      <c r="AL4" s="3">
        <v>86</v>
      </c>
      <c r="AM4" s="3">
        <v>40</v>
      </c>
      <c r="AN4" s="3">
        <v>88</v>
      </c>
      <c r="AO4" s="3">
        <v>27</v>
      </c>
      <c r="AP4" s="3">
        <v>74</v>
      </c>
      <c r="AQ4" s="4">
        <f t="shared" ref="AQ4" si="4">SUM(AL4:AP4)</f>
        <v>315</v>
      </c>
    </row>
    <row r="5" spans="1:43" ht="15" customHeight="1" x14ac:dyDescent="0.2">
      <c r="A5" s="5">
        <v>132</v>
      </c>
      <c r="B5" s="6" t="s">
        <v>21</v>
      </c>
      <c r="C5" s="6">
        <v>43</v>
      </c>
      <c r="D5" s="44">
        <v>70</v>
      </c>
      <c r="E5" s="44">
        <v>52</v>
      </c>
      <c r="F5" s="6">
        <v>87</v>
      </c>
      <c r="G5" s="6">
        <v>90</v>
      </c>
      <c r="H5" s="4">
        <f t="shared" si="0"/>
        <v>342</v>
      </c>
      <c r="J5" s="5" t="s">
        <v>22</v>
      </c>
      <c r="K5" s="6" t="s">
        <v>23</v>
      </c>
      <c r="L5" s="6">
        <v>70</v>
      </c>
      <c r="M5" s="6">
        <v>74</v>
      </c>
      <c r="N5" s="6">
        <v>77</v>
      </c>
      <c r="O5" s="6">
        <v>12</v>
      </c>
      <c r="P5" s="6">
        <v>59</v>
      </c>
      <c r="Q5" s="4">
        <f t="shared" si="1"/>
        <v>292</v>
      </c>
      <c r="S5" s="5" t="s">
        <v>24</v>
      </c>
      <c r="T5" s="6" t="s">
        <v>25</v>
      </c>
      <c r="U5" s="6">
        <v>74</v>
      </c>
      <c r="V5" s="6">
        <v>44</v>
      </c>
      <c r="W5" s="6">
        <v>79</v>
      </c>
      <c r="X5" s="6">
        <v>72</v>
      </c>
      <c r="Y5" s="6">
        <v>32</v>
      </c>
      <c r="Z5" s="4">
        <f t="shared" si="2"/>
        <v>301</v>
      </c>
      <c r="AB5" s="5" t="s">
        <v>26</v>
      </c>
      <c r="AC5" s="6" t="s">
        <v>27</v>
      </c>
      <c r="AD5" s="6">
        <v>10</v>
      </c>
      <c r="AE5" s="6">
        <v>15</v>
      </c>
      <c r="AF5" s="6">
        <v>58</v>
      </c>
      <c r="AG5" s="6">
        <v>51</v>
      </c>
      <c r="AH5" s="6">
        <v>48</v>
      </c>
      <c r="AI5" s="4">
        <f t="shared" si="3"/>
        <v>182</v>
      </c>
    </row>
    <row r="6" spans="1:43" ht="15" customHeight="1" x14ac:dyDescent="0.2">
      <c r="A6" s="2">
        <v>133</v>
      </c>
      <c r="B6" s="3" t="s">
        <v>29</v>
      </c>
      <c r="C6" s="3">
        <v>76</v>
      </c>
      <c r="D6" s="44">
        <v>79</v>
      </c>
      <c r="E6" s="3">
        <v>61</v>
      </c>
      <c r="F6" s="3">
        <v>89</v>
      </c>
      <c r="G6" s="3">
        <v>75</v>
      </c>
      <c r="H6" s="4">
        <f t="shared" si="0"/>
        <v>380</v>
      </c>
      <c r="J6" s="2" t="s">
        <v>30</v>
      </c>
      <c r="K6" s="3" t="s">
        <v>31</v>
      </c>
      <c r="L6" s="3">
        <v>37</v>
      </c>
      <c r="M6" s="3">
        <v>41</v>
      </c>
      <c r="N6" s="3">
        <v>88</v>
      </c>
      <c r="O6" s="3">
        <v>15</v>
      </c>
      <c r="P6" s="3">
        <v>27</v>
      </c>
      <c r="Q6" s="4">
        <f t="shared" si="1"/>
        <v>208</v>
      </c>
      <c r="S6" s="2" t="s">
        <v>32</v>
      </c>
      <c r="T6" s="3" t="s">
        <v>33</v>
      </c>
      <c r="U6" s="3">
        <v>70</v>
      </c>
      <c r="V6" s="3">
        <v>17</v>
      </c>
      <c r="W6" s="3">
        <v>11</v>
      </c>
      <c r="X6" s="3">
        <v>37</v>
      </c>
      <c r="Y6" s="3">
        <v>60</v>
      </c>
      <c r="Z6" s="4">
        <f t="shared" si="2"/>
        <v>195</v>
      </c>
      <c r="AB6" s="2" t="s">
        <v>34</v>
      </c>
      <c r="AC6" s="3" t="s">
        <v>35</v>
      </c>
      <c r="AD6" s="3">
        <v>12</v>
      </c>
      <c r="AE6" s="3">
        <v>57</v>
      </c>
      <c r="AF6" s="3">
        <v>63</v>
      </c>
      <c r="AG6" s="3">
        <v>7</v>
      </c>
      <c r="AH6" s="3">
        <v>62</v>
      </c>
      <c r="AI6" s="4">
        <f t="shared" si="3"/>
        <v>201</v>
      </c>
    </row>
    <row r="7" spans="1:43" ht="15" customHeight="1" x14ac:dyDescent="0.2">
      <c r="A7" s="5">
        <v>134</v>
      </c>
      <c r="B7" s="6" t="s">
        <v>37</v>
      </c>
      <c r="C7" s="6">
        <v>8</v>
      </c>
      <c r="D7" s="44">
        <v>9</v>
      </c>
      <c r="E7" s="6">
        <v>63</v>
      </c>
      <c r="F7" s="6">
        <v>28</v>
      </c>
      <c r="G7" s="6">
        <v>22</v>
      </c>
      <c r="H7" s="4">
        <f t="shared" si="0"/>
        <v>130</v>
      </c>
      <c r="J7" s="5" t="s">
        <v>38</v>
      </c>
      <c r="K7" s="6" t="s">
        <v>39</v>
      </c>
      <c r="L7" s="6">
        <v>11</v>
      </c>
      <c r="M7" s="6">
        <v>50</v>
      </c>
      <c r="N7" s="6">
        <v>1</v>
      </c>
      <c r="O7" s="6">
        <v>37</v>
      </c>
      <c r="P7" s="6">
        <v>88</v>
      </c>
      <c r="Q7" s="4">
        <f t="shared" si="1"/>
        <v>187</v>
      </c>
      <c r="S7" s="5" t="s">
        <v>40</v>
      </c>
      <c r="T7" s="6" t="s">
        <v>41</v>
      </c>
      <c r="U7" s="6">
        <v>38</v>
      </c>
      <c r="V7" s="6">
        <v>17</v>
      </c>
      <c r="W7" s="6">
        <v>61</v>
      </c>
      <c r="X7" s="6">
        <v>47</v>
      </c>
      <c r="Y7" s="6">
        <v>25</v>
      </c>
      <c r="Z7" s="4">
        <f t="shared" si="2"/>
        <v>188</v>
      </c>
      <c r="AB7" s="5" t="s">
        <v>42</v>
      </c>
      <c r="AC7" s="6" t="s">
        <v>43</v>
      </c>
      <c r="AD7" s="6">
        <v>31</v>
      </c>
      <c r="AE7" s="6">
        <v>79</v>
      </c>
      <c r="AF7" s="6">
        <v>53</v>
      </c>
      <c r="AG7" s="6">
        <v>4</v>
      </c>
      <c r="AH7" s="6">
        <v>84</v>
      </c>
      <c r="AI7" s="4">
        <f t="shared" si="3"/>
        <v>251</v>
      </c>
    </row>
    <row r="8" spans="1:43" ht="15" customHeight="1" x14ac:dyDescent="0.2">
      <c r="A8" s="2">
        <v>135</v>
      </c>
      <c r="B8" s="3" t="s">
        <v>45</v>
      </c>
      <c r="C8" s="3">
        <v>61</v>
      </c>
      <c r="D8" s="3">
        <v>50</v>
      </c>
      <c r="E8" s="44">
        <v>9</v>
      </c>
      <c r="F8" s="42">
        <v>74</v>
      </c>
      <c r="G8" s="44">
        <v>52</v>
      </c>
      <c r="H8" s="4">
        <f t="shared" si="0"/>
        <v>246</v>
      </c>
      <c r="J8" s="2" t="s">
        <v>46</v>
      </c>
      <c r="K8" s="3" t="s">
        <v>47</v>
      </c>
      <c r="L8" s="3">
        <v>31</v>
      </c>
      <c r="M8" s="3">
        <v>52</v>
      </c>
      <c r="N8" s="3">
        <v>67</v>
      </c>
      <c r="O8" s="3">
        <v>81</v>
      </c>
      <c r="P8" s="3">
        <v>41</v>
      </c>
      <c r="Q8" s="4">
        <f t="shared" si="1"/>
        <v>272</v>
      </c>
      <c r="S8" s="2" t="s">
        <v>48</v>
      </c>
      <c r="T8" s="3" t="s">
        <v>49</v>
      </c>
      <c r="U8" s="3">
        <v>71</v>
      </c>
      <c r="V8" s="3">
        <v>27</v>
      </c>
      <c r="W8" s="3">
        <v>73</v>
      </c>
      <c r="X8" s="3">
        <v>45</v>
      </c>
      <c r="Y8" s="3">
        <v>17</v>
      </c>
      <c r="Z8" s="4">
        <f t="shared" si="2"/>
        <v>233</v>
      </c>
      <c r="AB8" s="2" t="s">
        <v>50</v>
      </c>
      <c r="AC8" s="3" t="s">
        <v>51</v>
      </c>
      <c r="AD8" s="3">
        <v>69</v>
      </c>
      <c r="AE8" s="3">
        <v>89</v>
      </c>
      <c r="AF8" s="3">
        <v>53</v>
      </c>
      <c r="AG8" s="3">
        <v>11</v>
      </c>
      <c r="AH8" s="3">
        <v>60</v>
      </c>
      <c r="AI8" s="4">
        <f t="shared" si="3"/>
        <v>282</v>
      </c>
    </row>
    <row r="9" spans="1:43" ht="15" customHeight="1" x14ac:dyDescent="0.2">
      <c r="A9" s="5">
        <v>136</v>
      </c>
      <c r="B9" s="6" t="s">
        <v>53</v>
      </c>
      <c r="C9" s="6">
        <v>62</v>
      </c>
      <c r="D9" s="6">
        <v>16</v>
      </c>
      <c r="E9" s="6">
        <v>34</v>
      </c>
      <c r="F9" s="6">
        <v>19</v>
      </c>
      <c r="G9" s="6">
        <v>55</v>
      </c>
      <c r="H9" s="4">
        <f t="shared" si="0"/>
        <v>186</v>
      </c>
      <c r="J9" s="5" t="s">
        <v>54</v>
      </c>
      <c r="K9" s="6" t="s">
        <v>55</v>
      </c>
      <c r="L9" s="6">
        <v>77</v>
      </c>
      <c r="M9" s="6">
        <v>78</v>
      </c>
      <c r="N9" s="6">
        <v>66</v>
      </c>
      <c r="O9" s="6">
        <v>41</v>
      </c>
      <c r="P9" s="6">
        <v>16</v>
      </c>
      <c r="Q9" s="4">
        <f t="shared" si="1"/>
        <v>278</v>
      </c>
      <c r="S9" s="5" t="s">
        <v>56</v>
      </c>
      <c r="T9" s="6" t="s">
        <v>57</v>
      </c>
      <c r="U9" s="6">
        <v>77</v>
      </c>
      <c r="V9" s="6">
        <v>22</v>
      </c>
      <c r="W9" s="6">
        <v>28</v>
      </c>
      <c r="X9" s="6">
        <v>20</v>
      </c>
      <c r="Y9" s="6">
        <v>18</v>
      </c>
      <c r="Z9" s="4">
        <f t="shared" si="2"/>
        <v>165</v>
      </c>
      <c r="AB9" s="5" t="s">
        <v>58</v>
      </c>
      <c r="AC9" s="6" t="s">
        <v>59</v>
      </c>
      <c r="AD9" s="6">
        <v>34</v>
      </c>
      <c r="AE9" s="6">
        <v>21</v>
      </c>
      <c r="AF9" s="6">
        <v>24</v>
      </c>
      <c r="AG9" s="6">
        <v>29</v>
      </c>
      <c r="AH9" s="6">
        <v>68</v>
      </c>
      <c r="AI9" s="4">
        <f t="shared" si="3"/>
        <v>176</v>
      </c>
    </row>
    <row r="10" spans="1:43" ht="15" customHeight="1" x14ac:dyDescent="0.2">
      <c r="A10" s="2">
        <v>137</v>
      </c>
      <c r="B10" s="3" t="s">
        <v>61</v>
      </c>
      <c r="C10" s="3">
        <v>86</v>
      </c>
      <c r="D10" s="3">
        <v>40</v>
      </c>
      <c r="E10" s="3">
        <v>88</v>
      </c>
      <c r="F10" s="3">
        <v>27</v>
      </c>
      <c r="G10" s="3">
        <v>74</v>
      </c>
      <c r="H10" s="4">
        <f t="shared" si="0"/>
        <v>315</v>
      </c>
      <c r="J10" s="2" t="s">
        <v>62</v>
      </c>
      <c r="K10" s="3" t="s">
        <v>63</v>
      </c>
      <c r="L10" s="3">
        <v>57</v>
      </c>
      <c r="M10" s="3">
        <v>40</v>
      </c>
      <c r="N10" s="3">
        <v>38</v>
      </c>
      <c r="O10" s="3">
        <v>72</v>
      </c>
      <c r="P10" s="3">
        <v>84</v>
      </c>
      <c r="Q10" s="4">
        <f t="shared" si="1"/>
        <v>291</v>
      </c>
      <c r="S10" s="2" t="s">
        <v>64</v>
      </c>
      <c r="T10" s="3" t="s">
        <v>65</v>
      </c>
      <c r="U10" s="3">
        <v>44</v>
      </c>
      <c r="V10" s="3">
        <v>8</v>
      </c>
      <c r="W10" s="3">
        <v>34</v>
      </c>
      <c r="X10" s="3">
        <v>63</v>
      </c>
      <c r="Y10" s="3">
        <v>6</v>
      </c>
      <c r="Z10" s="4">
        <f t="shared" si="2"/>
        <v>155</v>
      </c>
      <c r="AB10" s="2" t="s">
        <v>66</v>
      </c>
      <c r="AC10" s="3" t="s">
        <v>67</v>
      </c>
      <c r="AD10" s="3">
        <v>17</v>
      </c>
      <c r="AE10" s="3">
        <v>51</v>
      </c>
      <c r="AF10" s="3">
        <v>36</v>
      </c>
      <c r="AG10" s="3">
        <v>64</v>
      </c>
      <c r="AH10" s="3">
        <v>53</v>
      </c>
      <c r="AI10" s="4">
        <f t="shared" si="3"/>
        <v>221</v>
      </c>
    </row>
    <row r="11" spans="1:43" ht="15" customHeight="1" x14ac:dyDescent="0.2">
      <c r="A11" s="5">
        <v>138</v>
      </c>
      <c r="B11" s="6" t="s">
        <v>69</v>
      </c>
      <c r="C11" s="44">
        <v>77</v>
      </c>
      <c r="D11" s="6">
        <v>30</v>
      </c>
      <c r="E11" s="6">
        <v>39</v>
      </c>
      <c r="F11" s="6">
        <v>18</v>
      </c>
      <c r="G11" s="6">
        <v>61</v>
      </c>
      <c r="H11" s="4">
        <f t="shared" si="0"/>
        <v>225</v>
      </c>
      <c r="J11" s="5" t="s">
        <v>70</v>
      </c>
      <c r="K11" s="6" t="s">
        <v>71</v>
      </c>
      <c r="L11" s="6">
        <v>11</v>
      </c>
      <c r="M11" s="6">
        <v>61</v>
      </c>
      <c r="N11" s="6">
        <v>54</v>
      </c>
      <c r="O11" s="6">
        <v>57</v>
      </c>
      <c r="P11" s="6">
        <v>50</v>
      </c>
      <c r="Q11" s="4">
        <f t="shared" si="1"/>
        <v>233</v>
      </c>
      <c r="S11" s="5" t="s">
        <v>72</v>
      </c>
      <c r="T11" s="6" t="s">
        <v>73</v>
      </c>
      <c r="U11" s="6">
        <v>85</v>
      </c>
      <c r="V11" s="6">
        <v>17</v>
      </c>
      <c r="W11" s="6">
        <v>38</v>
      </c>
      <c r="X11" s="6">
        <v>27</v>
      </c>
      <c r="Y11" s="6">
        <v>9</v>
      </c>
      <c r="Z11" s="4">
        <f t="shared" si="2"/>
        <v>176</v>
      </c>
      <c r="AB11" s="5" t="s">
        <v>74</v>
      </c>
      <c r="AC11" s="6" t="s">
        <v>75</v>
      </c>
      <c r="AD11" s="6">
        <v>25</v>
      </c>
      <c r="AE11" s="6">
        <v>68</v>
      </c>
      <c r="AF11" s="6">
        <v>27</v>
      </c>
      <c r="AG11" s="6">
        <v>34</v>
      </c>
      <c r="AH11" s="6">
        <v>78</v>
      </c>
      <c r="AI11" s="4">
        <f t="shared" si="3"/>
        <v>232</v>
      </c>
    </row>
    <row r="12" spans="1:43" ht="15" customHeight="1" x14ac:dyDescent="0.2">
      <c r="A12" s="2">
        <v>139</v>
      </c>
      <c r="B12" s="3" t="s">
        <v>77</v>
      </c>
      <c r="C12" s="3">
        <v>80</v>
      </c>
      <c r="D12" s="3">
        <v>61</v>
      </c>
      <c r="E12" s="3">
        <v>85</v>
      </c>
      <c r="F12" s="3">
        <v>49</v>
      </c>
      <c r="G12" s="3">
        <v>68</v>
      </c>
      <c r="H12" s="4">
        <f t="shared" si="0"/>
        <v>343</v>
      </c>
      <c r="J12" s="2" t="s">
        <v>78</v>
      </c>
      <c r="K12" s="3" t="s">
        <v>79</v>
      </c>
      <c r="L12" s="3">
        <v>20</v>
      </c>
      <c r="M12" s="3">
        <v>71</v>
      </c>
      <c r="N12" s="3">
        <v>83</v>
      </c>
      <c r="O12" s="3">
        <v>82</v>
      </c>
      <c r="P12" s="3">
        <v>76</v>
      </c>
      <c r="Q12" s="4">
        <f t="shared" si="1"/>
        <v>332</v>
      </c>
      <c r="S12" s="2" t="s">
        <v>80</v>
      </c>
      <c r="T12" s="3" t="s">
        <v>81</v>
      </c>
      <c r="U12" s="3">
        <v>11</v>
      </c>
      <c r="V12" s="3">
        <v>81</v>
      </c>
      <c r="W12" s="3">
        <v>56</v>
      </c>
      <c r="X12" s="3">
        <v>18</v>
      </c>
      <c r="Y12" s="3">
        <v>4</v>
      </c>
      <c r="Z12" s="4">
        <f t="shared" si="2"/>
        <v>170</v>
      </c>
      <c r="AB12" s="2" t="s">
        <v>82</v>
      </c>
      <c r="AC12" s="3" t="s">
        <v>83</v>
      </c>
      <c r="AD12" s="3">
        <v>23</v>
      </c>
      <c r="AE12" s="3">
        <v>5</v>
      </c>
      <c r="AF12" s="3">
        <v>65</v>
      </c>
      <c r="AG12" s="3">
        <v>37</v>
      </c>
      <c r="AH12" s="3">
        <v>22</v>
      </c>
      <c r="AI12" s="4">
        <f t="shared" si="3"/>
        <v>152</v>
      </c>
    </row>
    <row r="13" spans="1:43" ht="15" customHeight="1" x14ac:dyDescent="0.2">
      <c r="A13" s="5">
        <v>140</v>
      </c>
      <c r="B13" s="6" t="s">
        <v>85</v>
      </c>
      <c r="C13" s="6">
        <v>15</v>
      </c>
      <c r="D13" s="6">
        <v>33</v>
      </c>
      <c r="E13" s="6">
        <v>22</v>
      </c>
      <c r="F13" s="44">
        <v>7</v>
      </c>
      <c r="G13" s="6">
        <v>66</v>
      </c>
      <c r="H13" s="4">
        <f t="shared" si="0"/>
        <v>143</v>
      </c>
      <c r="J13" s="5" t="s">
        <v>86</v>
      </c>
      <c r="K13" s="6" t="s">
        <v>87</v>
      </c>
      <c r="L13" s="6">
        <v>50</v>
      </c>
      <c r="M13" s="6">
        <v>74</v>
      </c>
      <c r="N13" s="6">
        <v>61</v>
      </c>
      <c r="O13" s="6">
        <v>69</v>
      </c>
      <c r="P13" s="6">
        <v>18</v>
      </c>
      <c r="Q13" s="4">
        <f t="shared" si="1"/>
        <v>272</v>
      </c>
      <c r="S13" s="5" t="s">
        <v>88</v>
      </c>
      <c r="T13" s="6" t="s">
        <v>89</v>
      </c>
      <c r="U13" s="6">
        <v>27</v>
      </c>
      <c r="V13" s="6">
        <v>20</v>
      </c>
      <c r="W13" s="6">
        <v>37</v>
      </c>
      <c r="X13" s="6">
        <v>14</v>
      </c>
      <c r="Y13" s="6">
        <v>4</v>
      </c>
      <c r="Z13" s="4">
        <f t="shared" si="2"/>
        <v>102</v>
      </c>
      <c r="AB13" s="5" t="s">
        <v>90</v>
      </c>
      <c r="AC13" s="6" t="s">
        <v>91</v>
      </c>
      <c r="AD13" s="6">
        <v>89</v>
      </c>
      <c r="AE13" s="6">
        <v>45</v>
      </c>
      <c r="AF13" s="6">
        <v>6</v>
      </c>
      <c r="AG13" s="6">
        <v>85</v>
      </c>
      <c r="AH13" s="6">
        <v>10</v>
      </c>
      <c r="AI13" s="4">
        <f t="shared" si="3"/>
        <v>235</v>
      </c>
    </row>
    <row r="14" spans="1:43" ht="15" customHeight="1" x14ac:dyDescent="0.2">
      <c r="A14" s="2">
        <v>141</v>
      </c>
      <c r="B14" s="3" t="s">
        <v>93</v>
      </c>
      <c r="C14" s="3">
        <v>84</v>
      </c>
      <c r="D14" s="3">
        <v>40</v>
      </c>
      <c r="E14" s="3">
        <v>58</v>
      </c>
      <c r="F14" s="3">
        <v>41</v>
      </c>
      <c r="G14" s="3">
        <v>2</v>
      </c>
      <c r="H14" s="4">
        <f t="shared" si="0"/>
        <v>225</v>
      </c>
      <c r="J14" s="2" t="s">
        <v>94</v>
      </c>
      <c r="K14" s="3" t="s">
        <v>95</v>
      </c>
      <c r="L14" s="3">
        <v>55</v>
      </c>
      <c r="M14" s="3">
        <v>62</v>
      </c>
      <c r="N14" s="3">
        <v>80</v>
      </c>
      <c r="O14" s="3">
        <v>35</v>
      </c>
      <c r="P14" s="3">
        <v>6</v>
      </c>
      <c r="Q14" s="4">
        <f t="shared" si="1"/>
        <v>238</v>
      </c>
      <c r="S14" s="2" t="s">
        <v>96</v>
      </c>
      <c r="T14" s="3" t="s">
        <v>97</v>
      </c>
      <c r="U14" s="3">
        <v>8</v>
      </c>
      <c r="V14" s="3">
        <v>62</v>
      </c>
      <c r="W14" s="3">
        <v>66</v>
      </c>
      <c r="X14" s="3">
        <v>33</v>
      </c>
      <c r="Y14" s="3">
        <v>45</v>
      </c>
      <c r="Z14" s="4">
        <f t="shared" si="2"/>
        <v>214</v>
      </c>
      <c r="AB14" s="2" t="s">
        <v>98</v>
      </c>
      <c r="AC14" s="3" t="s">
        <v>99</v>
      </c>
      <c r="AD14" s="3">
        <v>43</v>
      </c>
      <c r="AE14" s="3">
        <v>60</v>
      </c>
      <c r="AF14" s="3">
        <v>63</v>
      </c>
      <c r="AG14" s="3">
        <v>33</v>
      </c>
      <c r="AH14" s="3">
        <v>20</v>
      </c>
      <c r="AI14" s="4">
        <f t="shared" si="3"/>
        <v>219</v>
      </c>
    </row>
    <row r="15" spans="1:43" ht="15" customHeight="1" x14ac:dyDescent="0.2">
      <c r="A15" s="5">
        <v>142</v>
      </c>
      <c r="B15" s="6" t="s">
        <v>101</v>
      </c>
      <c r="C15" s="6">
        <v>18</v>
      </c>
      <c r="D15" s="6">
        <v>62</v>
      </c>
      <c r="E15" s="6">
        <v>76</v>
      </c>
      <c r="F15" s="6">
        <v>65</v>
      </c>
      <c r="G15" s="6">
        <v>43</v>
      </c>
      <c r="H15" s="4">
        <f t="shared" si="0"/>
        <v>264</v>
      </c>
      <c r="J15" s="5" t="s">
        <v>102</v>
      </c>
      <c r="K15" s="6" t="s">
        <v>103</v>
      </c>
      <c r="L15" s="6">
        <v>24</v>
      </c>
      <c r="M15" s="6">
        <v>37</v>
      </c>
      <c r="N15" s="6">
        <v>76</v>
      </c>
      <c r="O15" s="6">
        <v>60</v>
      </c>
      <c r="P15" s="6">
        <v>59</v>
      </c>
      <c r="Q15" s="4">
        <f t="shared" si="1"/>
        <v>256</v>
      </c>
      <c r="S15" s="5" t="s">
        <v>104</v>
      </c>
      <c r="T15" s="6" t="s">
        <v>105</v>
      </c>
      <c r="U15" s="6">
        <v>29</v>
      </c>
      <c r="V15" s="6">
        <v>46</v>
      </c>
      <c r="W15" s="6">
        <v>28</v>
      </c>
      <c r="X15" s="6">
        <v>73</v>
      </c>
      <c r="Y15" s="6">
        <v>21</v>
      </c>
      <c r="Z15" s="4">
        <f t="shared" si="2"/>
        <v>197</v>
      </c>
      <c r="AB15" s="5" t="s">
        <v>106</v>
      </c>
      <c r="AC15" s="6" t="s">
        <v>107</v>
      </c>
      <c r="AD15" s="6">
        <v>16</v>
      </c>
      <c r="AE15" s="6">
        <v>55</v>
      </c>
      <c r="AF15" s="6">
        <v>88</v>
      </c>
      <c r="AG15" s="6">
        <v>41</v>
      </c>
      <c r="AH15" s="6">
        <v>58</v>
      </c>
      <c r="AI15" s="4">
        <f t="shared" si="3"/>
        <v>258</v>
      </c>
    </row>
    <row r="16" spans="1:43" ht="15" customHeight="1" x14ac:dyDescent="0.2">
      <c r="A16" s="2">
        <v>143</v>
      </c>
      <c r="B16" s="3" t="s">
        <v>109</v>
      </c>
      <c r="C16" s="3">
        <v>30</v>
      </c>
      <c r="D16" s="3">
        <v>16</v>
      </c>
      <c r="E16" s="3">
        <v>22</v>
      </c>
      <c r="F16" s="3">
        <v>2</v>
      </c>
      <c r="G16" s="3">
        <v>85</v>
      </c>
      <c r="H16" s="4">
        <f t="shared" si="0"/>
        <v>155</v>
      </c>
      <c r="J16" s="2" t="s">
        <v>110</v>
      </c>
      <c r="K16" s="3" t="s">
        <v>111</v>
      </c>
      <c r="L16" s="3">
        <v>61</v>
      </c>
      <c r="M16" s="3">
        <v>22</v>
      </c>
      <c r="N16" s="3">
        <v>55</v>
      </c>
      <c r="O16" s="3">
        <v>37</v>
      </c>
      <c r="P16" s="3">
        <v>48</v>
      </c>
      <c r="Q16" s="4">
        <f t="shared" si="1"/>
        <v>223</v>
      </c>
      <c r="S16" s="2" t="s">
        <v>112</v>
      </c>
      <c r="T16" s="3" t="s">
        <v>113</v>
      </c>
      <c r="U16" s="3">
        <v>88</v>
      </c>
      <c r="V16" s="3">
        <v>71</v>
      </c>
      <c r="W16" s="3">
        <v>13</v>
      </c>
      <c r="X16" s="3">
        <v>25</v>
      </c>
      <c r="Y16" s="3">
        <v>4</v>
      </c>
      <c r="Z16" s="4">
        <f t="shared" si="2"/>
        <v>201</v>
      </c>
      <c r="AB16" s="2" t="s">
        <v>114</v>
      </c>
      <c r="AC16" s="3" t="s">
        <v>115</v>
      </c>
      <c r="AD16" s="3">
        <v>81</v>
      </c>
      <c r="AE16" s="3">
        <v>70</v>
      </c>
      <c r="AF16" s="3">
        <v>39</v>
      </c>
      <c r="AG16" s="3">
        <v>48</v>
      </c>
      <c r="AH16" s="3">
        <v>42</v>
      </c>
      <c r="AI16" s="4">
        <f t="shared" si="3"/>
        <v>280</v>
      </c>
    </row>
    <row r="17" spans="1:35" ht="15" customHeight="1" x14ac:dyDescent="0.2">
      <c r="A17" s="5">
        <v>144</v>
      </c>
      <c r="B17" s="6" t="s">
        <v>117</v>
      </c>
      <c r="C17" s="6">
        <v>6</v>
      </c>
      <c r="D17" s="6">
        <v>11</v>
      </c>
      <c r="E17" s="6">
        <v>52</v>
      </c>
      <c r="F17" s="44">
        <v>70</v>
      </c>
      <c r="G17" s="39">
        <v>49</v>
      </c>
      <c r="H17" s="4">
        <f t="shared" si="0"/>
        <v>188</v>
      </c>
      <c r="J17" s="5" t="s">
        <v>118</v>
      </c>
      <c r="K17" s="6" t="s">
        <v>119</v>
      </c>
      <c r="L17" s="6">
        <v>39</v>
      </c>
      <c r="M17" s="6">
        <v>27</v>
      </c>
      <c r="N17" s="6">
        <v>83</v>
      </c>
      <c r="O17" s="6">
        <v>70</v>
      </c>
      <c r="P17" s="6">
        <v>17</v>
      </c>
      <c r="Q17" s="4">
        <f t="shared" si="1"/>
        <v>236</v>
      </c>
      <c r="S17" s="5" t="s">
        <v>120</v>
      </c>
      <c r="T17" s="6" t="s">
        <v>121</v>
      </c>
      <c r="U17" s="6">
        <v>35</v>
      </c>
      <c r="V17" s="6">
        <v>53</v>
      </c>
      <c r="W17" s="6">
        <v>73</v>
      </c>
      <c r="X17" s="6">
        <v>16</v>
      </c>
      <c r="Y17" s="6">
        <v>32</v>
      </c>
      <c r="Z17" s="4">
        <f t="shared" si="2"/>
        <v>209</v>
      </c>
      <c r="AB17" s="5" t="s">
        <v>122</v>
      </c>
      <c r="AC17" s="6" t="s">
        <v>123</v>
      </c>
      <c r="AD17" s="6">
        <v>38</v>
      </c>
      <c r="AE17" s="6">
        <v>68</v>
      </c>
      <c r="AF17" s="6">
        <v>56</v>
      </c>
      <c r="AG17" s="6">
        <v>62</v>
      </c>
      <c r="AH17" s="6">
        <v>65</v>
      </c>
      <c r="AI17" s="4">
        <f t="shared" si="3"/>
        <v>289</v>
      </c>
    </row>
    <row r="18" spans="1:35" ht="15" customHeight="1" x14ac:dyDescent="0.2">
      <c r="A18" s="2">
        <v>145</v>
      </c>
      <c r="B18" s="3" t="s">
        <v>125</v>
      </c>
      <c r="C18" s="3">
        <v>38</v>
      </c>
      <c r="D18" s="3">
        <v>17</v>
      </c>
      <c r="E18" s="3">
        <v>3</v>
      </c>
      <c r="F18" s="3">
        <v>74</v>
      </c>
      <c r="G18" s="3">
        <v>39</v>
      </c>
      <c r="H18" s="4">
        <f t="shared" si="0"/>
        <v>171</v>
      </c>
      <c r="J18" s="2" t="s">
        <v>126</v>
      </c>
      <c r="K18" s="3" t="s">
        <v>127</v>
      </c>
      <c r="L18" s="3">
        <v>87</v>
      </c>
      <c r="M18" s="3">
        <v>4</v>
      </c>
      <c r="N18" s="3">
        <v>79</v>
      </c>
      <c r="O18" s="3">
        <v>27</v>
      </c>
      <c r="P18" s="3">
        <v>74</v>
      </c>
      <c r="Q18" s="4">
        <f t="shared" si="1"/>
        <v>271</v>
      </c>
      <c r="S18" s="2" t="s">
        <v>128</v>
      </c>
      <c r="T18" s="3" t="s">
        <v>129</v>
      </c>
      <c r="U18" s="3">
        <v>82</v>
      </c>
      <c r="V18" s="3">
        <v>79</v>
      </c>
      <c r="W18" s="3">
        <v>69</v>
      </c>
      <c r="X18" s="3">
        <v>89</v>
      </c>
      <c r="Y18" s="3">
        <v>61</v>
      </c>
      <c r="Z18" s="4">
        <f t="shared" si="2"/>
        <v>380</v>
      </c>
      <c r="AB18" s="2" t="s">
        <v>130</v>
      </c>
      <c r="AC18" s="3" t="s">
        <v>131</v>
      </c>
      <c r="AD18" s="3">
        <v>25</v>
      </c>
      <c r="AE18" s="3">
        <v>76</v>
      </c>
      <c r="AF18" s="3">
        <v>73</v>
      </c>
      <c r="AG18" s="3">
        <v>74</v>
      </c>
      <c r="AH18" s="3">
        <v>61</v>
      </c>
      <c r="AI18" s="4">
        <f t="shared" si="3"/>
        <v>309</v>
      </c>
    </row>
    <row r="19" spans="1:35" ht="15" customHeight="1" x14ac:dyDescent="0.2">
      <c r="A19" s="5">
        <v>146</v>
      </c>
      <c r="B19" s="6" t="s">
        <v>133</v>
      </c>
      <c r="C19" s="6">
        <v>27</v>
      </c>
      <c r="D19" s="6">
        <v>48</v>
      </c>
      <c r="E19" s="42">
        <v>14</v>
      </c>
      <c r="F19" s="6">
        <v>38</v>
      </c>
      <c r="G19" s="39">
        <v>81</v>
      </c>
      <c r="H19" s="4">
        <f t="shared" si="0"/>
        <v>208</v>
      </c>
      <c r="J19" s="5" t="s">
        <v>134</v>
      </c>
      <c r="K19" s="6" t="s">
        <v>135</v>
      </c>
      <c r="L19" s="6">
        <v>41</v>
      </c>
      <c r="M19" s="6">
        <v>6</v>
      </c>
      <c r="N19" s="6">
        <v>36</v>
      </c>
      <c r="O19" s="6">
        <v>19</v>
      </c>
      <c r="P19" s="6">
        <v>47</v>
      </c>
      <c r="Q19" s="4">
        <f t="shared" si="1"/>
        <v>149</v>
      </c>
      <c r="S19" s="5" t="s">
        <v>136</v>
      </c>
      <c r="T19" s="6" t="s">
        <v>137</v>
      </c>
      <c r="U19" s="6">
        <v>87</v>
      </c>
      <c r="V19" s="6">
        <v>21</v>
      </c>
      <c r="W19" s="6">
        <v>12</v>
      </c>
      <c r="X19" s="6">
        <v>3</v>
      </c>
      <c r="Y19" s="6">
        <v>44</v>
      </c>
      <c r="Z19" s="4">
        <f t="shared" si="2"/>
        <v>167</v>
      </c>
      <c r="AB19" s="5" t="s">
        <v>138</v>
      </c>
      <c r="AC19" s="6" t="s">
        <v>139</v>
      </c>
      <c r="AD19" s="6">
        <v>86</v>
      </c>
      <c r="AE19" s="6">
        <v>39</v>
      </c>
      <c r="AF19" s="6">
        <v>79</v>
      </c>
      <c r="AG19" s="6">
        <v>29</v>
      </c>
      <c r="AH19" s="6">
        <v>77</v>
      </c>
      <c r="AI19" s="4">
        <f t="shared" si="3"/>
        <v>310</v>
      </c>
    </row>
    <row r="20" spans="1:35" ht="15" customHeight="1" x14ac:dyDescent="0.2">
      <c r="A20" s="2">
        <v>147</v>
      </c>
      <c r="B20" s="3" t="s">
        <v>141</v>
      </c>
      <c r="C20" s="3">
        <v>50</v>
      </c>
      <c r="D20" s="3">
        <v>55</v>
      </c>
      <c r="E20" s="3">
        <v>43</v>
      </c>
      <c r="F20" s="3">
        <v>16</v>
      </c>
      <c r="G20" s="3">
        <v>52</v>
      </c>
      <c r="H20" s="4">
        <f t="shared" si="0"/>
        <v>216</v>
      </c>
      <c r="J20" s="2" t="s">
        <v>142</v>
      </c>
      <c r="K20" s="3" t="s">
        <v>143</v>
      </c>
      <c r="L20" s="3">
        <v>32</v>
      </c>
      <c r="M20" s="3">
        <v>58</v>
      </c>
      <c r="N20" s="3">
        <v>89</v>
      </c>
      <c r="O20" s="3">
        <v>60</v>
      </c>
      <c r="P20" s="3">
        <v>86</v>
      </c>
      <c r="Q20" s="4">
        <f t="shared" si="1"/>
        <v>325</v>
      </c>
      <c r="S20" s="2" t="s">
        <v>144</v>
      </c>
      <c r="T20" s="3" t="s">
        <v>145</v>
      </c>
      <c r="U20" s="3">
        <v>71</v>
      </c>
      <c r="V20" s="3">
        <v>86</v>
      </c>
      <c r="W20" s="3">
        <v>72</v>
      </c>
      <c r="X20" s="3">
        <v>26</v>
      </c>
      <c r="Y20" s="3">
        <v>43</v>
      </c>
      <c r="Z20" s="4">
        <f t="shared" si="2"/>
        <v>298</v>
      </c>
      <c r="AB20" s="2" t="s">
        <v>146</v>
      </c>
      <c r="AC20" s="3" t="s">
        <v>147</v>
      </c>
      <c r="AD20" s="3">
        <v>57</v>
      </c>
      <c r="AE20" s="3">
        <v>83</v>
      </c>
      <c r="AF20" s="3">
        <v>84</v>
      </c>
      <c r="AG20" s="3">
        <v>15</v>
      </c>
      <c r="AH20" s="3">
        <v>10</v>
      </c>
      <c r="AI20" s="4">
        <f t="shared" si="3"/>
        <v>249</v>
      </c>
    </row>
    <row r="21" spans="1:35" ht="15" customHeight="1" x14ac:dyDescent="0.2">
      <c r="A21" s="5">
        <v>148</v>
      </c>
      <c r="B21" s="6" t="s">
        <v>149</v>
      </c>
      <c r="C21" s="48">
        <v>22</v>
      </c>
      <c r="D21" s="6">
        <v>39</v>
      </c>
      <c r="E21" s="6">
        <v>44</v>
      </c>
      <c r="F21" s="6">
        <v>47</v>
      </c>
      <c r="G21" s="6">
        <v>15</v>
      </c>
      <c r="H21" s="4">
        <f t="shared" si="0"/>
        <v>167</v>
      </c>
      <c r="J21" s="5" t="s">
        <v>150</v>
      </c>
      <c r="K21" s="6" t="s">
        <v>151</v>
      </c>
      <c r="L21" s="6">
        <v>24</v>
      </c>
      <c r="M21" s="6">
        <v>80</v>
      </c>
      <c r="N21" s="6">
        <v>73</v>
      </c>
      <c r="O21" s="6">
        <v>43</v>
      </c>
      <c r="P21" s="6">
        <v>22</v>
      </c>
      <c r="Q21" s="4">
        <f>SUM(L21:P21)</f>
        <v>242</v>
      </c>
      <c r="S21" s="5" t="s">
        <v>152</v>
      </c>
      <c r="T21" s="6" t="s">
        <v>153</v>
      </c>
      <c r="U21" s="6">
        <v>39</v>
      </c>
      <c r="V21" s="6">
        <v>8</v>
      </c>
      <c r="W21" s="6">
        <v>79</v>
      </c>
      <c r="X21" s="6">
        <v>22</v>
      </c>
      <c r="Y21" s="6">
        <v>56</v>
      </c>
      <c r="Z21" s="4">
        <f t="shared" si="2"/>
        <v>204</v>
      </c>
      <c r="AB21" s="5" t="s">
        <v>154</v>
      </c>
      <c r="AC21" s="6" t="s">
        <v>155</v>
      </c>
      <c r="AD21" s="6">
        <v>50</v>
      </c>
      <c r="AE21" s="6">
        <v>37</v>
      </c>
      <c r="AF21" s="6">
        <v>27</v>
      </c>
      <c r="AG21" s="6">
        <v>51</v>
      </c>
      <c r="AH21" s="6">
        <v>6</v>
      </c>
      <c r="AI21" s="4">
        <f t="shared" si="3"/>
        <v>171</v>
      </c>
    </row>
    <row r="22" spans="1:35" ht="15" customHeight="1" x14ac:dyDescent="0.2">
      <c r="A22" s="2">
        <v>149</v>
      </c>
      <c r="B22" s="3" t="s">
        <v>157</v>
      </c>
      <c r="C22" s="3">
        <v>45</v>
      </c>
      <c r="D22" s="44">
        <v>70</v>
      </c>
      <c r="E22" s="48">
        <v>22</v>
      </c>
      <c r="F22" s="39">
        <v>18</v>
      </c>
      <c r="G22" s="3">
        <v>58</v>
      </c>
      <c r="H22" s="4">
        <f t="shared" si="0"/>
        <v>213</v>
      </c>
      <c r="J22" s="2" t="s">
        <v>158</v>
      </c>
      <c r="K22" s="3" t="s">
        <v>159</v>
      </c>
      <c r="L22" s="3">
        <v>12</v>
      </c>
      <c r="M22" s="3">
        <v>16</v>
      </c>
      <c r="N22" s="3">
        <v>31</v>
      </c>
      <c r="O22" s="3">
        <v>87</v>
      </c>
      <c r="P22" s="3">
        <v>44</v>
      </c>
      <c r="Q22" s="4">
        <f>SUM(L22:P22)</f>
        <v>190</v>
      </c>
      <c r="S22" s="2" t="s">
        <v>160</v>
      </c>
      <c r="T22" s="3" t="s">
        <v>161</v>
      </c>
      <c r="U22" s="3">
        <v>60</v>
      </c>
      <c r="V22" s="3">
        <v>12</v>
      </c>
      <c r="W22" s="3">
        <v>30</v>
      </c>
      <c r="X22" s="3">
        <v>37</v>
      </c>
      <c r="Y22" s="3">
        <v>74</v>
      </c>
      <c r="Z22" s="4">
        <f t="shared" si="2"/>
        <v>213</v>
      </c>
      <c r="AB22" s="2" t="s">
        <v>162</v>
      </c>
      <c r="AC22" s="3" t="s">
        <v>163</v>
      </c>
      <c r="AD22" s="3">
        <v>6</v>
      </c>
      <c r="AE22" s="3">
        <v>25</v>
      </c>
      <c r="AF22" s="3">
        <v>89</v>
      </c>
      <c r="AG22" s="3">
        <v>90</v>
      </c>
      <c r="AH22" s="3">
        <v>32</v>
      </c>
      <c r="AI22" s="4">
        <f t="shared" si="3"/>
        <v>242</v>
      </c>
    </row>
    <row r="23" spans="1:35" ht="15" customHeight="1" x14ac:dyDescent="0.2">
      <c r="A23" s="5">
        <v>150</v>
      </c>
      <c r="B23" s="6" t="s">
        <v>165</v>
      </c>
      <c r="C23" s="46">
        <v>81</v>
      </c>
      <c r="D23" s="6">
        <v>31</v>
      </c>
      <c r="E23" s="6">
        <v>64</v>
      </c>
      <c r="F23" s="6">
        <v>86</v>
      </c>
      <c r="G23" s="6">
        <v>62</v>
      </c>
      <c r="H23" s="4">
        <f t="shared" si="0"/>
        <v>324</v>
      </c>
      <c r="J23" s="5" t="s">
        <v>166</v>
      </c>
      <c r="K23" s="6" t="s">
        <v>167</v>
      </c>
      <c r="L23" s="6">
        <v>83</v>
      </c>
      <c r="M23" s="6">
        <v>22</v>
      </c>
      <c r="N23" s="6">
        <v>56</v>
      </c>
      <c r="O23" s="6">
        <v>89</v>
      </c>
      <c r="P23" s="6">
        <v>15</v>
      </c>
      <c r="Q23" s="4">
        <f>SUM(L23:P23)</f>
        <v>265</v>
      </c>
      <c r="S23" s="5" t="s">
        <v>168</v>
      </c>
      <c r="T23" s="6" t="s">
        <v>169</v>
      </c>
      <c r="U23" s="6">
        <v>18</v>
      </c>
      <c r="V23" s="6">
        <v>51</v>
      </c>
      <c r="W23" s="6">
        <v>61</v>
      </c>
      <c r="X23" s="6">
        <v>15</v>
      </c>
      <c r="Y23" s="6">
        <v>70</v>
      </c>
      <c r="Z23" s="4">
        <f t="shared" si="2"/>
        <v>215</v>
      </c>
      <c r="AB23" s="5" t="s">
        <v>170</v>
      </c>
      <c r="AC23" s="6" t="s">
        <v>171</v>
      </c>
      <c r="AD23" s="6">
        <v>23</v>
      </c>
      <c r="AE23" s="6">
        <v>88</v>
      </c>
      <c r="AF23" s="6">
        <v>9</v>
      </c>
      <c r="AG23" s="6">
        <v>39</v>
      </c>
      <c r="AH23" s="6">
        <v>46</v>
      </c>
      <c r="AI23" s="4">
        <f t="shared" si="3"/>
        <v>205</v>
      </c>
    </row>
    <row r="24" spans="1:35" ht="15" customHeight="1" x14ac:dyDescent="0.2">
      <c r="A24" s="2">
        <v>151</v>
      </c>
      <c r="B24" s="3" t="s">
        <v>173</v>
      </c>
      <c r="C24" s="3">
        <v>58</v>
      </c>
      <c r="D24" s="39">
        <v>59</v>
      </c>
      <c r="E24" s="46">
        <v>81</v>
      </c>
      <c r="F24" s="3">
        <v>3</v>
      </c>
      <c r="G24" s="3">
        <v>76</v>
      </c>
      <c r="H24" s="4">
        <f t="shared" si="0"/>
        <v>277</v>
      </c>
      <c r="J24" s="2" t="s">
        <v>174</v>
      </c>
      <c r="K24" s="3" t="s">
        <v>175</v>
      </c>
      <c r="L24" s="3">
        <v>42</v>
      </c>
      <c r="M24" s="3">
        <v>36</v>
      </c>
      <c r="N24" s="3">
        <v>51</v>
      </c>
      <c r="O24" s="3">
        <v>49</v>
      </c>
      <c r="P24" s="3">
        <v>28</v>
      </c>
      <c r="Q24" s="4">
        <f t="shared" si="1"/>
        <v>206</v>
      </c>
      <c r="S24" s="2" t="s">
        <v>176</v>
      </c>
      <c r="T24" s="3" t="s">
        <v>177</v>
      </c>
      <c r="U24" s="3">
        <v>45</v>
      </c>
      <c r="V24" s="3">
        <v>67</v>
      </c>
      <c r="W24" s="3">
        <v>34</v>
      </c>
      <c r="X24" s="3">
        <v>56</v>
      </c>
      <c r="Y24" s="3">
        <v>50</v>
      </c>
      <c r="Z24" s="4">
        <f t="shared" si="2"/>
        <v>252</v>
      </c>
      <c r="AB24" s="2" t="s">
        <v>178</v>
      </c>
      <c r="AC24" s="3" t="s">
        <v>179</v>
      </c>
      <c r="AD24" s="3">
        <v>34</v>
      </c>
      <c r="AE24" s="3">
        <v>47</v>
      </c>
      <c r="AF24" s="3">
        <v>80</v>
      </c>
      <c r="AG24" s="3">
        <v>60</v>
      </c>
      <c r="AH24" s="3">
        <v>76</v>
      </c>
      <c r="AI24" s="4">
        <f t="shared" si="3"/>
        <v>297</v>
      </c>
    </row>
    <row r="25" spans="1:35" ht="15" customHeight="1" x14ac:dyDescent="0.2">
      <c r="A25" s="5">
        <v>152</v>
      </c>
      <c r="B25" s="6" t="s">
        <v>181</v>
      </c>
      <c r="C25" s="6">
        <v>82</v>
      </c>
      <c r="D25" s="6">
        <v>5</v>
      </c>
      <c r="E25" s="6">
        <v>44</v>
      </c>
      <c r="F25" s="42">
        <v>74</v>
      </c>
      <c r="G25" s="6">
        <v>30</v>
      </c>
      <c r="H25" s="4">
        <f t="shared" si="0"/>
        <v>235</v>
      </c>
      <c r="J25" s="5" t="s">
        <v>182</v>
      </c>
      <c r="K25" s="6" t="s">
        <v>183</v>
      </c>
      <c r="L25" s="6">
        <v>3</v>
      </c>
      <c r="M25" s="6">
        <v>46</v>
      </c>
      <c r="N25" s="6">
        <v>81</v>
      </c>
      <c r="O25" s="6">
        <v>63</v>
      </c>
      <c r="P25" s="6">
        <v>48</v>
      </c>
      <c r="Q25" s="4">
        <f t="shared" si="1"/>
        <v>241</v>
      </c>
      <c r="S25" s="5" t="s">
        <v>184</v>
      </c>
      <c r="T25" s="6" t="s">
        <v>185</v>
      </c>
      <c r="U25" s="6">
        <v>55</v>
      </c>
      <c r="V25" s="6">
        <v>84</v>
      </c>
      <c r="W25" s="6">
        <v>54</v>
      </c>
      <c r="X25" s="6">
        <v>5</v>
      </c>
      <c r="Y25" s="6">
        <v>59</v>
      </c>
      <c r="Z25" s="4">
        <f t="shared" si="2"/>
        <v>257</v>
      </c>
      <c r="AB25" s="5" t="s">
        <v>186</v>
      </c>
      <c r="AC25" s="6" t="s">
        <v>187</v>
      </c>
      <c r="AD25" s="6">
        <v>49</v>
      </c>
      <c r="AE25" s="6">
        <v>87</v>
      </c>
      <c r="AF25" s="6">
        <v>29</v>
      </c>
      <c r="AG25" s="6">
        <v>9</v>
      </c>
      <c r="AH25" s="6">
        <v>27</v>
      </c>
      <c r="AI25" s="4">
        <f t="shared" si="3"/>
        <v>201</v>
      </c>
    </row>
    <row r="26" spans="1:35" ht="15" customHeight="1" x14ac:dyDescent="0.2">
      <c r="A26" s="2">
        <v>153</v>
      </c>
      <c r="B26" s="3" t="s">
        <v>189</v>
      </c>
      <c r="C26" s="40">
        <v>36</v>
      </c>
      <c r="D26" s="3">
        <v>21</v>
      </c>
      <c r="E26" s="3">
        <v>58</v>
      </c>
      <c r="F26" s="3">
        <v>32</v>
      </c>
      <c r="G26" s="3">
        <v>54</v>
      </c>
      <c r="H26" s="4">
        <f t="shared" si="0"/>
        <v>201</v>
      </c>
      <c r="J26" s="2" t="s">
        <v>190</v>
      </c>
      <c r="K26" s="3" t="s">
        <v>191</v>
      </c>
      <c r="L26" s="3">
        <v>54</v>
      </c>
      <c r="M26" s="3">
        <v>15</v>
      </c>
      <c r="N26" s="3">
        <v>39</v>
      </c>
      <c r="O26" s="3">
        <v>5</v>
      </c>
      <c r="P26" s="3">
        <v>79</v>
      </c>
      <c r="Q26" s="4">
        <f t="shared" si="1"/>
        <v>192</v>
      </c>
      <c r="S26" s="2" t="s">
        <v>192</v>
      </c>
      <c r="T26" s="3" t="s">
        <v>193</v>
      </c>
      <c r="U26" s="3">
        <v>1</v>
      </c>
      <c r="V26" s="3">
        <v>47</v>
      </c>
      <c r="W26" s="3">
        <v>52</v>
      </c>
      <c r="X26" s="3">
        <v>81</v>
      </c>
      <c r="Y26" s="3">
        <v>42</v>
      </c>
      <c r="Z26" s="4">
        <f t="shared" si="2"/>
        <v>223</v>
      </c>
      <c r="AB26" s="2" t="s">
        <v>194</v>
      </c>
      <c r="AC26" s="3" t="s">
        <v>195</v>
      </c>
      <c r="AD26" s="3">
        <v>67</v>
      </c>
      <c r="AE26" s="3">
        <v>82</v>
      </c>
      <c r="AF26" s="3">
        <v>28</v>
      </c>
      <c r="AG26" s="3">
        <v>74</v>
      </c>
      <c r="AH26" s="3">
        <v>47</v>
      </c>
      <c r="AI26" s="4">
        <f t="shared" si="3"/>
        <v>298</v>
      </c>
    </row>
    <row r="27" spans="1:35" ht="15" customHeight="1" x14ac:dyDescent="0.2">
      <c r="A27" s="5">
        <v>154</v>
      </c>
      <c r="B27" s="6" t="s">
        <v>197</v>
      </c>
      <c r="C27" s="48">
        <v>66</v>
      </c>
      <c r="D27" s="6">
        <v>2</v>
      </c>
      <c r="E27" s="6">
        <v>47</v>
      </c>
      <c r="F27" s="6">
        <v>48</v>
      </c>
      <c r="G27" s="39">
        <v>37</v>
      </c>
      <c r="H27" s="4">
        <f t="shared" si="0"/>
        <v>200</v>
      </c>
      <c r="J27" s="5" t="s">
        <v>198</v>
      </c>
      <c r="K27" s="6" t="s">
        <v>199</v>
      </c>
      <c r="L27" s="6">
        <v>45</v>
      </c>
      <c r="M27" s="6">
        <v>5</v>
      </c>
      <c r="N27" s="6">
        <v>79</v>
      </c>
      <c r="O27" s="6">
        <v>41</v>
      </c>
      <c r="P27" s="6">
        <v>77</v>
      </c>
      <c r="Q27" s="4">
        <f t="shared" si="1"/>
        <v>247</v>
      </c>
      <c r="S27" s="5" t="s">
        <v>200</v>
      </c>
      <c r="T27" s="6" t="s">
        <v>201</v>
      </c>
      <c r="U27" s="6">
        <v>67</v>
      </c>
      <c r="V27" s="6">
        <v>7</v>
      </c>
      <c r="W27" s="6">
        <v>89</v>
      </c>
      <c r="X27" s="6">
        <v>57</v>
      </c>
      <c r="Y27" s="6">
        <v>27</v>
      </c>
      <c r="Z27" s="4">
        <f t="shared" si="2"/>
        <v>247</v>
      </c>
      <c r="AB27" s="5" t="s">
        <v>202</v>
      </c>
      <c r="AC27" s="6" t="s">
        <v>203</v>
      </c>
      <c r="AD27" s="6">
        <v>82</v>
      </c>
      <c r="AE27" s="6">
        <v>45</v>
      </c>
      <c r="AF27" s="6">
        <v>14</v>
      </c>
      <c r="AG27" s="6">
        <v>54</v>
      </c>
      <c r="AH27" s="6">
        <v>66</v>
      </c>
      <c r="AI27" s="4">
        <f t="shared" si="3"/>
        <v>261</v>
      </c>
    </row>
    <row r="28" spans="1:35" ht="15" customHeight="1" x14ac:dyDescent="0.2">
      <c r="A28" s="2">
        <v>155</v>
      </c>
      <c r="B28" s="3" t="s">
        <v>205</v>
      </c>
      <c r="C28" s="48">
        <v>88</v>
      </c>
      <c r="D28" s="3">
        <v>33</v>
      </c>
      <c r="E28" s="48">
        <v>22</v>
      </c>
      <c r="F28" s="3">
        <v>53</v>
      </c>
      <c r="G28" s="3">
        <v>47</v>
      </c>
      <c r="H28" s="4">
        <f t="shared" si="0"/>
        <v>243</v>
      </c>
      <c r="J28" s="2" t="s">
        <v>206</v>
      </c>
      <c r="K28" s="3" t="s">
        <v>207</v>
      </c>
      <c r="L28" s="3">
        <v>20</v>
      </c>
      <c r="M28" s="3">
        <v>79</v>
      </c>
      <c r="N28" s="3">
        <v>67</v>
      </c>
      <c r="O28" s="3">
        <v>77</v>
      </c>
      <c r="P28" s="3">
        <v>88</v>
      </c>
      <c r="Q28" s="4">
        <f t="shared" si="1"/>
        <v>331</v>
      </c>
      <c r="S28" s="2" t="s">
        <v>208</v>
      </c>
      <c r="T28" s="3" t="s">
        <v>209</v>
      </c>
      <c r="U28" s="3">
        <v>69</v>
      </c>
      <c r="V28" s="3">
        <v>81</v>
      </c>
      <c r="W28" s="3">
        <v>62</v>
      </c>
      <c r="X28" s="3">
        <v>37</v>
      </c>
      <c r="Y28" s="3">
        <v>67</v>
      </c>
      <c r="Z28" s="4">
        <f t="shared" si="2"/>
        <v>316</v>
      </c>
      <c r="AB28" s="2" t="s">
        <v>210</v>
      </c>
      <c r="AC28" s="3" t="s">
        <v>211</v>
      </c>
      <c r="AD28" s="3">
        <v>22</v>
      </c>
      <c r="AE28" s="3">
        <v>40</v>
      </c>
      <c r="AF28" s="3">
        <v>44</v>
      </c>
      <c r="AG28" s="3">
        <v>60</v>
      </c>
      <c r="AH28" s="3">
        <v>11</v>
      </c>
      <c r="AI28" s="4">
        <f t="shared" si="3"/>
        <v>177</v>
      </c>
    </row>
    <row r="29" spans="1:35" ht="15" customHeight="1" x14ac:dyDescent="0.2">
      <c r="A29" s="5">
        <v>156</v>
      </c>
      <c r="B29" s="36">
        <v>46567</v>
      </c>
      <c r="C29" s="43">
        <v>14</v>
      </c>
      <c r="D29" s="45">
        <v>70</v>
      </c>
      <c r="E29" s="47">
        <v>63</v>
      </c>
      <c r="F29" s="41">
        <v>49</v>
      </c>
      <c r="G29" s="47">
        <v>37</v>
      </c>
      <c r="H29" s="13">
        <f t="shared" si="0"/>
        <v>233</v>
      </c>
      <c r="J29" s="5" t="s">
        <v>212</v>
      </c>
      <c r="K29" s="6" t="s">
        <v>213</v>
      </c>
      <c r="L29" s="6">
        <v>77</v>
      </c>
      <c r="M29" s="6">
        <v>56</v>
      </c>
      <c r="N29" s="6">
        <v>55</v>
      </c>
      <c r="O29" s="6">
        <v>52</v>
      </c>
      <c r="P29" s="6">
        <v>5</v>
      </c>
      <c r="Q29" s="4">
        <f t="shared" si="1"/>
        <v>245</v>
      </c>
      <c r="S29" s="5" t="s">
        <v>214</v>
      </c>
      <c r="T29" s="6" t="s">
        <v>215</v>
      </c>
      <c r="U29" s="6">
        <v>5</v>
      </c>
      <c r="V29" s="6">
        <v>1</v>
      </c>
      <c r="W29" s="6">
        <v>39</v>
      </c>
      <c r="X29" s="6">
        <v>29</v>
      </c>
      <c r="Y29" s="6">
        <v>13</v>
      </c>
      <c r="Z29" s="4">
        <f t="shared" si="2"/>
        <v>87</v>
      </c>
      <c r="AB29" s="5" t="s">
        <v>216</v>
      </c>
      <c r="AC29" s="6" t="s">
        <v>217</v>
      </c>
      <c r="AD29" s="6">
        <v>85</v>
      </c>
      <c r="AE29" s="6">
        <v>13</v>
      </c>
      <c r="AF29" s="6">
        <v>68</v>
      </c>
      <c r="AG29" s="6">
        <v>74</v>
      </c>
      <c r="AH29" s="6">
        <v>8</v>
      </c>
      <c r="AI29" s="4">
        <f t="shared" si="3"/>
        <v>248</v>
      </c>
    </row>
    <row r="30" spans="1:35" ht="15" customHeight="1" x14ac:dyDescent="0.2">
      <c r="A30" s="5">
        <v>157</v>
      </c>
      <c r="B30" s="77">
        <v>46209</v>
      </c>
      <c r="C30" s="8">
        <v>28</v>
      </c>
      <c r="D30" s="8">
        <v>60</v>
      </c>
      <c r="E30" s="8">
        <v>39</v>
      </c>
      <c r="F30" s="8">
        <v>27</v>
      </c>
      <c r="G30" s="8">
        <v>43</v>
      </c>
      <c r="H30" s="8">
        <f>SUM(C30:G30)</f>
        <v>197</v>
      </c>
      <c r="J30" s="2" t="s">
        <v>218</v>
      </c>
      <c r="K30" s="3" t="s">
        <v>219</v>
      </c>
      <c r="L30" s="3">
        <v>79</v>
      </c>
      <c r="M30" s="3">
        <v>74</v>
      </c>
      <c r="N30" s="3">
        <v>85</v>
      </c>
      <c r="O30" s="3">
        <v>87</v>
      </c>
      <c r="P30" s="3">
        <v>60</v>
      </c>
      <c r="Q30" s="4">
        <f t="shared" si="1"/>
        <v>385</v>
      </c>
      <c r="S30" s="2" t="s">
        <v>220</v>
      </c>
      <c r="T30" s="3" t="s">
        <v>221</v>
      </c>
      <c r="U30" s="3">
        <v>23</v>
      </c>
      <c r="V30" s="3">
        <v>40</v>
      </c>
      <c r="W30" s="3">
        <v>77</v>
      </c>
      <c r="X30" s="3">
        <v>81</v>
      </c>
      <c r="Y30" s="3">
        <v>75</v>
      </c>
      <c r="Z30" s="4">
        <f t="shared" si="2"/>
        <v>296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2">
        <v>158</v>
      </c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13</v>
      </c>
      <c r="M31" s="6">
        <v>75</v>
      </c>
      <c r="N31" s="6">
        <v>59</v>
      </c>
      <c r="O31" s="6">
        <v>58</v>
      </c>
      <c r="P31" s="6">
        <v>28</v>
      </c>
      <c r="Q31" s="4">
        <f t="shared" si="1"/>
        <v>233</v>
      </c>
      <c r="S31" s="5" t="s">
        <v>224</v>
      </c>
      <c r="T31" s="6" t="s">
        <v>225</v>
      </c>
      <c r="U31" s="6">
        <v>82</v>
      </c>
      <c r="V31" s="6">
        <v>46</v>
      </c>
      <c r="W31" s="6">
        <v>83</v>
      </c>
      <c r="X31" s="6">
        <v>7</v>
      </c>
      <c r="Y31" s="6">
        <v>47</v>
      </c>
      <c r="Z31" s="4">
        <f t="shared" si="2"/>
        <v>265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5">
        <v>159</v>
      </c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64</v>
      </c>
      <c r="M32" s="3">
        <v>82</v>
      </c>
      <c r="N32" s="3">
        <v>77</v>
      </c>
      <c r="O32" s="3">
        <v>26</v>
      </c>
      <c r="P32" s="3">
        <v>29</v>
      </c>
      <c r="Q32" s="4">
        <f t="shared" si="1"/>
        <v>278</v>
      </c>
      <c r="S32" s="2" t="s">
        <v>228</v>
      </c>
      <c r="T32" s="3" t="s">
        <v>229</v>
      </c>
      <c r="U32" s="3">
        <v>89</v>
      </c>
      <c r="V32" s="3">
        <v>33</v>
      </c>
      <c r="W32" s="3">
        <v>31</v>
      </c>
      <c r="X32" s="3">
        <v>88</v>
      </c>
      <c r="Y32" s="3">
        <v>62</v>
      </c>
      <c r="Z32" s="4">
        <f t="shared" si="2"/>
        <v>303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2">
        <v>160</v>
      </c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22</v>
      </c>
      <c r="M33" s="6">
        <v>35</v>
      </c>
      <c r="N33" s="6">
        <v>30</v>
      </c>
      <c r="O33" s="6">
        <v>47</v>
      </c>
      <c r="P33" s="6">
        <v>39</v>
      </c>
      <c r="Q33" s="4">
        <f t="shared" si="1"/>
        <v>173</v>
      </c>
      <c r="S33" s="5" t="s">
        <v>232</v>
      </c>
      <c r="T33" s="6" t="s">
        <v>233</v>
      </c>
      <c r="U33" s="6">
        <v>6</v>
      </c>
      <c r="V33" s="6">
        <v>82</v>
      </c>
      <c r="W33" s="6">
        <v>27</v>
      </c>
      <c r="X33" s="6">
        <v>3</v>
      </c>
      <c r="Y33" s="6">
        <v>81</v>
      </c>
      <c r="Z33" s="4">
        <f t="shared" si="2"/>
        <v>199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5">
        <v>161</v>
      </c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77</v>
      </c>
      <c r="M34" s="3">
        <v>22</v>
      </c>
      <c r="N34" s="3">
        <v>67</v>
      </c>
      <c r="O34" s="3">
        <v>75</v>
      </c>
      <c r="P34" s="3">
        <v>19</v>
      </c>
      <c r="Q34" s="4">
        <f t="shared" si="1"/>
        <v>260</v>
      </c>
      <c r="S34" s="2" t="s">
        <v>236</v>
      </c>
      <c r="T34" s="3" t="s">
        <v>237</v>
      </c>
      <c r="U34" s="3">
        <v>2</v>
      </c>
      <c r="V34" s="3">
        <v>32</v>
      </c>
      <c r="W34" s="3">
        <v>24</v>
      </c>
      <c r="X34" s="3">
        <v>14</v>
      </c>
      <c r="Y34" s="3">
        <v>1</v>
      </c>
      <c r="Z34" s="4">
        <f t="shared" si="2"/>
        <v>73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5">
        <v>162</v>
      </c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43</v>
      </c>
      <c r="M35" s="6">
        <v>60</v>
      </c>
      <c r="N35" s="6">
        <v>40</v>
      </c>
      <c r="O35" s="6">
        <v>5</v>
      </c>
      <c r="P35" s="6">
        <v>79</v>
      </c>
      <c r="Q35" s="4">
        <f t="shared" si="1"/>
        <v>227</v>
      </c>
      <c r="S35" s="5" t="s">
        <v>240</v>
      </c>
      <c r="T35" s="6" t="s">
        <v>241</v>
      </c>
      <c r="U35" s="6">
        <v>5</v>
      </c>
      <c r="V35" s="6">
        <v>67</v>
      </c>
      <c r="W35" s="6">
        <v>20</v>
      </c>
      <c r="X35" s="6">
        <v>35</v>
      </c>
      <c r="Y35" s="6">
        <v>23</v>
      </c>
      <c r="Z35" s="4">
        <f t="shared" si="2"/>
        <v>150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2">
        <v>163</v>
      </c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80</v>
      </c>
      <c r="M36" s="3">
        <v>39</v>
      </c>
      <c r="N36" s="3">
        <v>49</v>
      </c>
      <c r="O36" s="3">
        <v>87</v>
      </c>
      <c r="P36" s="3">
        <v>71</v>
      </c>
      <c r="Q36" s="4">
        <f t="shared" ref="Q36:Q55" si="5">SUM(L36:P36)</f>
        <v>326</v>
      </c>
      <c r="S36" s="2" t="s">
        <v>244</v>
      </c>
      <c r="T36" s="3" t="s">
        <v>245</v>
      </c>
      <c r="U36" s="3">
        <v>5</v>
      </c>
      <c r="V36" s="3">
        <v>29</v>
      </c>
      <c r="W36" s="3">
        <v>59</v>
      </c>
      <c r="X36" s="3">
        <v>54</v>
      </c>
      <c r="Y36" s="3">
        <v>65</v>
      </c>
      <c r="Z36" s="4">
        <f t="shared" ref="Z36:Z55" si="6">SUM(U36:Y36)</f>
        <v>212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5">
        <v>164</v>
      </c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78</v>
      </c>
      <c r="M37" s="6">
        <v>32</v>
      </c>
      <c r="N37" s="6">
        <v>72</v>
      </c>
      <c r="O37" s="6">
        <v>83</v>
      </c>
      <c r="P37" s="6">
        <v>58</v>
      </c>
      <c r="Q37" s="4">
        <f t="shared" si="5"/>
        <v>323</v>
      </c>
      <c r="S37" s="5" t="s">
        <v>248</v>
      </c>
      <c r="T37" s="6" t="s">
        <v>249</v>
      </c>
      <c r="U37" s="6">
        <v>15</v>
      </c>
      <c r="V37" s="6">
        <v>40</v>
      </c>
      <c r="W37" s="6">
        <v>7</v>
      </c>
      <c r="X37" s="6">
        <v>46</v>
      </c>
      <c r="Y37" s="6">
        <v>81</v>
      </c>
      <c r="Z37" s="4">
        <f t="shared" si="6"/>
        <v>189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2">
        <v>165</v>
      </c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6</v>
      </c>
      <c r="M38" s="3">
        <v>63</v>
      </c>
      <c r="N38" s="3">
        <v>47</v>
      </c>
      <c r="O38" s="3">
        <v>31</v>
      </c>
      <c r="P38" s="3">
        <v>24</v>
      </c>
      <c r="Q38" s="4">
        <f t="shared" si="5"/>
        <v>171</v>
      </c>
      <c r="S38" s="2" t="s">
        <v>252</v>
      </c>
      <c r="T38" s="3" t="s">
        <v>253</v>
      </c>
      <c r="U38" s="3">
        <v>42</v>
      </c>
      <c r="V38" s="3">
        <v>6</v>
      </c>
      <c r="W38" s="3">
        <v>69</v>
      </c>
      <c r="X38" s="3">
        <v>55</v>
      </c>
      <c r="Y38" s="3">
        <v>48</v>
      </c>
      <c r="Z38" s="4">
        <f t="shared" si="6"/>
        <v>220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5">
        <v>166</v>
      </c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</v>
      </c>
      <c r="M39" s="6">
        <v>76</v>
      </c>
      <c r="N39" s="6">
        <v>59</v>
      </c>
      <c r="O39" s="6">
        <v>70</v>
      </c>
      <c r="P39" s="6">
        <v>19</v>
      </c>
      <c r="Q39" s="4">
        <f t="shared" si="5"/>
        <v>231</v>
      </c>
      <c r="S39" s="5" t="s">
        <v>256</v>
      </c>
      <c r="T39" s="6" t="s">
        <v>257</v>
      </c>
      <c r="U39" s="6">
        <v>10</v>
      </c>
      <c r="V39" s="6">
        <v>60</v>
      </c>
      <c r="W39" s="6">
        <v>39</v>
      </c>
      <c r="X39" s="6">
        <v>11</v>
      </c>
      <c r="Y39" s="6">
        <v>8</v>
      </c>
      <c r="Z39" s="4">
        <f t="shared" si="6"/>
        <v>128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5">
        <v>167</v>
      </c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52</v>
      </c>
      <c r="M40" s="3">
        <v>56</v>
      </c>
      <c r="N40" s="3">
        <v>82</v>
      </c>
      <c r="O40" s="3">
        <v>24</v>
      </c>
      <c r="P40" s="3">
        <v>42</v>
      </c>
      <c r="Q40" s="4">
        <f t="shared" si="5"/>
        <v>256</v>
      </c>
      <c r="S40" s="2" t="s">
        <v>260</v>
      </c>
      <c r="T40" s="3" t="s">
        <v>261</v>
      </c>
      <c r="U40" s="3">
        <v>37</v>
      </c>
      <c r="V40" s="3">
        <v>4</v>
      </c>
      <c r="W40" s="3">
        <v>22</v>
      </c>
      <c r="X40" s="3">
        <v>5</v>
      </c>
      <c r="Y40" s="3">
        <v>51</v>
      </c>
      <c r="Z40" s="4">
        <f t="shared" si="6"/>
        <v>119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2">
        <v>168</v>
      </c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74</v>
      </c>
      <c r="M41" s="6">
        <v>69</v>
      </c>
      <c r="N41" s="6">
        <v>90</v>
      </c>
      <c r="O41" s="6">
        <v>15</v>
      </c>
      <c r="P41" s="6">
        <v>68</v>
      </c>
      <c r="Q41" s="4">
        <f t="shared" si="5"/>
        <v>316</v>
      </c>
      <c r="S41" s="5" t="s">
        <v>264</v>
      </c>
      <c r="T41" s="6" t="s">
        <v>265</v>
      </c>
      <c r="U41" s="6">
        <v>52</v>
      </c>
      <c r="V41" s="6">
        <v>10</v>
      </c>
      <c r="W41" s="6">
        <v>39</v>
      </c>
      <c r="X41" s="6">
        <v>60</v>
      </c>
      <c r="Y41" s="6">
        <v>15</v>
      </c>
      <c r="Z41" s="4">
        <f t="shared" si="6"/>
        <v>176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5">
        <v>169</v>
      </c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16</v>
      </c>
      <c r="M42" s="3">
        <v>86</v>
      </c>
      <c r="N42" s="3">
        <v>2</v>
      </c>
      <c r="O42" s="3">
        <v>69</v>
      </c>
      <c r="P42" s="3">
        <v>67</v>
      </c>
      <c r="Q42" s="4">
        <f t="shared" si="5"/>
        <v>240</v>
      </c>
      <c r="S42" s="2" t="s">
        <v>268</v>
      </c>
      <c r="T42" s="3" t="s">
        <v>269</v>
      </c>
      <c r="U42" s="3">
        <v>75</v>
      </c>
      <c r="V42" s="3">
        <v>14</v>
      </c>
      <c r="W42" s="3">
        <v>84</v>
      </c>
      <c r="X42" s="3">
        <v>12</v>
      </c>
      <c r="Y42" s="3">
        <v>66</v>
      </c>
      <c r="Z42" s="4">
        <f t="shared" si="6"/>
        <v>251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2">
        <v>170</v>
      </c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72</v>
      </c>
      <c r="M43" s="6">
        <v>77</v>
      </c>
      <c r="N43" s="6">
        <v>40</v>
      </c>
      <c r="O43" s="6">
        <v>30</v>
      </c>
      <c r="P43" s="6">
        <v>16</v>
      </c>
      <c r="Q43" s="4">
        <f t="shared" si="5"/>
        <v>235</v>
      </c>
      <c r="S43" s="5" t="s">
        <v>272</v>
      </c>
      <c r="T43" s="6" t="s">
        <v>273</v>
      </c>
      <c r="U43" s="6">
        <v>3</v>
      </c>
      <c r="V43" s="6">
        <v>17</v>
      </c>
      <c r="W43" s="6">
        <v>56</v>
      </c>
      <c r="X43" s="6">
        <v>61</v>
      </c>
      <c r="Y43" s="6">
        <v>41</v>
      </c>
      <c r="Z43" s="4">
        <f t="shared" si="6"/>
        <v>178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5">
        <v>171</v>
      </c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22</v>
      </c>
      <c r="M44" s="3">
        <v>14</v>
      </c>
      <c r="N44" s="3">
        <v>4</v>
      </c>
      <c r="O44" s="3">
        <v>73</v>
      </c>
      <c r="P44" s="3">
        <v>49</v>
      </c>
      <c r="Q44" s="4">
        <f t="shared" si="5"/>
        <v>162</v>
      </c>
      <c r="S44" s="2" t="s">
        <v>276</v>
      </c>
      <c r="T44" s="3" t="s">
        <v>277</v>
      </c>
      <c r="U44" s="3">
        <v>10</v>
      </c>
      <c r="V44" s="3">
        <v>23</v>
      </c>
      <c r="W44" s="3">
        <v>56</v>
      </c>
      <c r="X44" s="3">
        <v>24</v>
      </c>
      <c r="Y44" s="3">
        <v>77</v>
      </c>
      <c r="Z44" s="4">
        <f t="shared" si="6"/>
        <v>190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5">
        <v>172</v>
      </c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30</v>
      </c>
      <c r="M45" s="6">
        <v>38</v>
      </c>
      <c r="N45" s="6">
        <v>20</v>
      </c>
      <c r="O45" s="6">
        <v>24</v>
      </c>
      <c r="P45" s="6">
        <v>45</v>
      </c>
      <c r="Q45" s="4">
        <f t="shared" si="5"/>
        <v>157</v>
      </c>
      <c r="S45" s="5" t="s">
        <v>280</v>
      </c>
      <c r="T45" s="6" t="s">
        <v>281</v>
      </c>
      <c r="U45" s="6">
        <v>16</v>
      </c>
      <c r="V45" s="6">
        <v>57</v>
      </c>
      <c r="W45" s="6">
        <v>89</v>
      </c>
      <c r="X45" s="6">
        <v>49</v>
      </c>
      <c r="Y45" s="6">
        <v>30</v>
      </c>
      <c r="Z45" s="4">
        <f t="shared" si="6"/>
        <v>241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2">
        <v>173</v>
      </c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78</v>
      </c>
      <c r="M46" s="3">
        <v>61</v>
      </c>
      <c r="N46" s="3">
        <v>88</v>
      </c>
      <c r="O46" s="3">
        <v>69</v>
      </c>
      <c r="P46" s="3">
        <v>64</v>
      </c>
      <c r="Q46" s="4">
        <f t="shared" si="5"/>
        <v>360</v>
      </c>
      <c r="S46" s="2" t="s">
        <v>284</v>
      </c>
      <c r="T46" s="3" t="s">
        <v>285</v>
      </c>
      <c r="U46" s="3">
        <v>66</v>
      </c>
      <c r="V46" s="3">
        <v>87</v>
      </c>
      <c r="W46" s="3">
        <v>47</v>
      </c>
      <c r="X46" s="3">
        <v>68</v>
      </c>
      <c r="Y46" s="3">
        <v>76</v>
      </c>
      <c r="Z46" s="4">
        <f t="shared" si="6"/>
        <v>344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5">
        <v>174</v>
      </c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37</v>
      </c>
      <c r="M47" s="6">
        <v>82</v>
      </c>
      <c r="N47" s="6">
        <v>22</v>
      </c>
      <c r="O47" s="6">
        <v>79</v>
      </c>
      <c r="P47" s="6">
        <v>13</v>
      </c>
      <c r="Q47" s="4">
        <f t="shared" si="5"/>
        <v>233</v>
      </c>
      <c r="S47" s="5" t="s">
        <v>288</v>
      </c>
      <c r="T47" s="6" t="s">
        <v>289</v>
      </c>
      <c r="U47" s="6">
        <v>45</v>
      </c>
      <c r="V47" s="6">
        <v>78</v>
      </c>
      <c r="W47" s="6">
        <v>43</v>
      </c>
      <c r="X47" s="6">
        <v>60</v>
      </c>
      <c r="Y47" s="6">
        <v>71</v>
      </c>
      <c r="Z47" s="4">
        <f t="shared" si="6"/>
        <v>297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2">
        <v>175</v>
      </c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86</v>
      </c>
      <c r="M48" s="3">
        <v>31</v>
      </c>
      <c r="N48" s="3">
        <v>42</v>
      </c>
      <c r="O48" s="3">
        <v>41</v>
      </c>
      <c r="P48" s="3">
        <v>36</v>
      </c>
      <c r="Q48" s="4">
        <f t="shared" si="5"/>
        <v>236</v>
      </c>
      <c r="S48" s="2" t="s">
        <v>292</v>
      </c>
      <c r="T48" s="3" t="s">
        <v>293</v>
      </c>
      <c r="U48" s="3">
        <v>66</v>
      </c>
      <c r="V48" s="3">
        <v>30</v>
      </c>
      <c r="W48" s="3">
        <v>82</v>
      </c>
      <c r="X48" s="3">
        <v>85</v>
      </c>
      <c r="Y48" s="3">
        <v>38</v>
      </c>
      <c r="Z48" s="4">
        <f t="shared" si="6"/>
        <v>301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5">
        <v>176</v>
      </c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62</v>
      </c>
      <c r="M49" s="6">
        <v>13</v>
      </c>
      <c r="N49" s="6">
        <v>71</v>
      </c>
      <c r="O49" s="6">
        <v>70</v>
      </c>
      <c r="P49" s="6">
        <v>59</v>
      </c>
      <c r="Q49" s="4">
        <f t="shared" si="5"/>
        <v>275</v>
      </c>
      <c r="S49" s="5" t="s">
        <v>296</v>
      </c>
      <c r="T49" s="6" t="s">
        <v>297</v>
      </c>
      <c r="U49" s="6">
        <v>84</v>
      </c>
      <c r="V49" s="6">
        <v>77</v>
      </c>
      <c r="W49" s="6">
        <v>1</v>
      </c>
      <c r="X49" s="6">
        <v>50</v>
      </c>
      <c r="Y49" s="6">
        <v>61</v>
      </c>
      <c r="Z49" s="4">
        <f t="shared" si="6"/>
        <v>273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5">
        <v>177</v>
      </c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85</v>
      </c>
      <c r="N50" s="3">
        <v>72</v>
      </c>
      <c r="O50" s="3">
        <v>55</v>
      </c>
      <c r="P50" s="3">
        <v>4</v>
      </c>
      <c r="Q50" s="4">
        <f t="shared" si="5"/>
        <v>255</v>
      </c>
      <c r="S50" s="2" t="s">
        <v>300</v>
      </c>
      <c r="T50" s="3" t="s">
        <v>301</v>
      </c>
      <c r="U50" s="3">
        <v>30</v>
      </c>
      <c r="V50" s="3">
        <v>73</v>
      </c>
      <c r="W50" s="3">
        <v>2</v>
      </c>
      <c r="X50" s="3">
        <v>74</v>
      </c>
      <c r="Y50" s="3">
        <v>4</v>
      </c>
      <c r="Z50" s="4">
        <f t="shared" si="6"/>
        <v>183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2">
        <v>178</v>
      </c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81</v>
      </c>
      <c r="M51" s="6">
        <v>85</v>
      </c>
      <c r="N51" s="6">
        <v>6</v>
      </c>
      <c r="O51" s="6">
        <v>20</v>
      </c>
      <c r="P51" s="6">
        <v>36</v>
      </c>
      <c r="Q51" s="4">
        <f t="shared" si="5"/>
        <v>228</v>
      </c>
      <c r="S51" s="5" t="s">
        <v>304</v>
      </c>
      <c r="T51" s="6" t="s">
        <v>305</v>
      </c>
      <c r="U51" s="6">
        <v>55</v>
      </c>
      <c r="V51" s="6">
        <v>56</v>
      </c>
      <c r="W51" s="6">
        <v>5</v>
      </c>
      <c r="X51" s="6">
        <v>34</v>
      </c>
      <c r="Y51" s="6">
        <v>76</v>
      </c>
      <c r="Z51" s="4">
        <f t="shared" si="6"/>
        <v>226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5">
        <v>179</v>
      </c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21</v>
      </c>
      <c r="M52" s="3">
        <v>26</v>
      </c>
      <c r="N52" s="3">
        <v>32</v>
      </c>
      <c r="O52" s="3">
        <v>89</v>
      </c>
      <c r="P52" s="3">
        <v>61</v>
      </c>
      <c r="Q52" s="4">
        <f t="shared" si="5"/>
        <v>229</v>
      </c>
      <c r="S52" s="2" t="s">
        <v>308</v>
      </c>
      <c r="T52" s="3" t="s">
        <v>309</v>
      </c>
      <c r="U52" s="3">
        <v>2</v>
      </c>
      <c r="V52" s="3">
        <v>85</v>
      </c>
      <c r="W52" s="3">
        <v>14</v>
      </c>
      <c r="X52" s="3">
        <v>17</v>
      </c>
      <c r="Y52" s="3">
        <v>71</v>
      </c>
      <c r="Z52" s="4">
        <f t="shared" si="6"/>
        <v>189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2">
        <v>180</v>
      </c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15</v>
      </c>
      <c r="M53" s="6">
        <v>49</v>
      </c>
      <c r="N53" s="6">
        <v>2</v>
      </c>
      <c r="O53" s="6">
        <v>88</v>
      </c>
      <c r="P53" s="6">
        <v>20</v>
      </c>
      <c r="Q53" s="4">
        <f t="shared" si="5"/>
        <v>174</v>
      </c>
      <c r="S53" s="5" t="s">
        <v>312</v>
      </c>
      <c r="T53" s="6" t="s">
        <v>313</v>
      </c>
      <c r="U53" s="6">
        <v>67</v>
      </c>
      <c r="V53" s="6">
        <v>79</v>
      </c>
      <c r="W53" s="6">
        <v>23</v>
      </c>
      <c r="X53" s="6">
        <v>64</v>
      </c>
      <c r="Y53" s="6">
        <v>87</v>
      </c>
      <c r="Z53" s="4">
        <f t="shared" si="6"/>
        <v>320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14</v>
      </c>
      <c r="M54" s="3">
        <v>30</v>
      </c>
      <c r="N54" s="3">
        <v>74</v>
      </c>
      <c r="O54" s="3">
        <v>90</v>
      </c>
      <c r="P54" s="3">
        <v>89</v>
      </c>
      <c r="Q54" s="4">
        <f t="shared" si="5"/>
        <v>297</v>
      </c>
      <c r="S54" s="2" t="s">
        <v>316</v>
      </c>
      <c r="T54" s="3" t="s">
        <v>317</v>
      </c>
      <c r="U54" s="3">
        <v>23</v>
      </c>
      <c r="V54" s="3">
        <v>4</v>
      </c>
      <c r="W54" s="3">
        <v>75</v>
      </c>
      <c r="X54" s="3">
        <v>5</v>
      </c>
      <c r="Y54" s="3">
        <v>55</v>
      </c>
      <c r="Z54" s="4">
        <f t="shared" si="6"/>
        <v>162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74</v>
      </c>
      <c r="M55" s="6">
        <v>23</v>
      </c>
      <c r="N55" s="6">
        <v>76</v>
      </c>
      <c r="O55" s="6">
        <v>18</v>
      </c>
      <c r="P55" s="6">
        <v>2</v>
      </c>
      <c r="Q55" s="4">
        <f t="shared" si="5"/>
        <v>193</v>
      </c>
      <c r="S55" s="5" t="s">
        <v>320</v>
      </c>
      <c r="T55" s="6" t="s">
        <v>321</v>
      </c>
      <c r="U55" s="6">
        <v>36</v>
      </c>
      <c r="V55" s="6">
        <v>72</v>
      </c>
      <c r="W55" s="6">
        <v>49</v>
      </c>
      <c r="X55" s="6">
        <v>14</v>
      </c>
      <c r="Y55" s="6">
        <v>59</v>
      </c>
      <c r="Z55" s="4">
        <f t="shared" si="6"/>
        <v>230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B2:AI2"/>
    <mergeCell ref="A2:H2"/>
  </mergeCells>
  <phoneticPr fontId="20" type="noConversion"/>
  <conditionalFormatting sqref="H4:H500">
    <cfRule type="cellIs" dxfId="51" priority="21" operator="greaterThanOrEqual">
      <formula>300</formula>
    </cfRule>
    <cfRule type="cellIs" dxfId="50" priority="22" operator="between">
      <formula>250</formula>
      <formula>299</formula>
    </cfRule>
    <cfRule type="cellIs" dxfId="49" priority="23" operator="between">
      <formula>150</formula>
      <formula>249</formula>
    </cfRule>
    <cfRule type="cellIs" dxfId="48" priority="24" operator="lessThan">
      <formula>150</formula>
    </cfRule>
  </conditionalFormatting>
  <conditionalFormatting sqref="Q4:Q500">
    <cfRule type="cellIs" dxfId="47" priority="25" operator="greaterThanOrEqual">
      <formula>300</formula>
    </cfRule>
    <cfRule type="cellIs" dxfId="46" priority="26" operator="between">
      <formula>250</formula>
      <formula>299</formula>
    </cfRule>
    <cfRule type="cellIs" dxfId="45" priority="27" operator="between">
      <formula>150</formula>
      <formula>249</formula>
    </cfRule>
    <cfRule type="cellIs" dxfId="44" priority="28" operator="lessThan">
      <formula>150</formula>
    </cfRule>
  </conditionalFormatting>
  <conditionalFormatting sqref="Z4:Z500">
    <cfRule type="cellIs" dxfId="43" priority="29" operator="greaterThanOrEqual">
      <formula>300</formula>
    </cfRule>
    <cfRule type="cellIs" dxfId="42" priority="30" operator="between">
      <formula>250</formula>
      <formula>299</formula>
    </cfRule>
    <cfRule type="cellIs" dxfId="41" priority="31" operator="between">
      <formula>150</formula>
      <formula>249</formula>
    </cfRule>
    <cfRule type="cellIs" dxfId="40" priority="32" operator="lessThan">
      <formula>150</formula>
    </cfRule>
  </conditionalFormatting>
  <conditionalFormatting sqref="AI4:AI500">
    <cfRule type="cellIs" dxfId="39" priority="33" operator="greaterThanOrEqual">
      <formula>300</formula>
    </cfRule>
    <cfRule type="cellIs" dxfId="38" priority="34" operator="between">
      <formula>250</formula>
      <formula>299</formula>
    </cfRule>
    <cfRule type="cellIs" dxfId="37" priority="35" operator="between">
      <formula>150</formula>
      <formula>249</formula>
    </cfRule>
    <cfRule type="cellIs" dxfId="36" priority="36" operator="lessThan">
      <formula>150</formula>
    </cfRule>
  </conditionalFormatting>
  <conditionalFormatting sqref="AQ4:AQ23">
    <cfRule type="cellIs" dxfId="35" priority="1" operator="greaterThanOrEqual">
      <formula>300</formula>
    </cfRule>
    <cfRule type="cellIs" dxfId="34" priority="2" operator="between">
      <formula>250</formula>
      <formula>299</formula>
    </cfRule>
    <cfRule type="cellIs" dxfId="33" priority="3" operator="between">
      <formula>150</formula>
      <formula>249</formula>
    </cfRule>
    <cfRule type="cellIs" dxfId="32" priority="4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5C51-E992-214A-B05F-3038CBE79F36}">
  <dimension ref="A1:BG123"/>
  <sheetViews>
    <sheetView topLeftCell="A7" zoomScale="200" zoomScaleNormal="200" workbookViewId="0">
      <selection activeCell="C103" sqref="C103:H103"/>
    </sheetView>
  </sheetViews>
  <sheetFormatPr baseColWidth="10" defaultColWidth="8.83203125" defaultRowHeight="15" x14ac:dyDescent="0.2"/>
  <cols>
    <col min="1" max="1" width="7.1640625" bestFit="1" customWidth="1"/>
    <col min="2" max="2" width="10.1640625" bestFit="1" customWidth="1"/>
    <col min="3" max="7" width="3" bestFit="1" customWidth="1"/>
    <col min="8" max="8" width="5.83203125" bestFit="1" customWidth="1"/>
    <col min="9" max="9" width="0.5" customWidth="1"/>
    <col min="10" max="10" width="7.1640625" bestFit="1" customWidth="1"/>
    <col min="11" max="11" width="10.1640625" bestFit="1" customWidth="1"/>
    <col min="12" max="16" width="3" bestFit="1" customWidth="1"/>
    <col min="17" max="17" width="5.83203125" bestFit="1" customWidth="1"/>
    <col min="18" max="18" width="0.83203125" customWidth="1"/>
    <col min="19" max="19" width="7.1640625" bestFit="1" customWidth="1"/>
    <col min="21" max="25" width="3" bestFit="1" customWidth="1"/>
    <col min="26" max="26" width="5.83203125" bestFit="1" customWidth="1"/>
    <col min="27" max="27" width="0.83203125" customWidth="1"/>
    <col min="28" max="28" width="7.1640625" bestFit="1" customWidth="1"/>
    <col min="30" max="34" width="3" bestFit="1" customWidth="1"/>
    <col min="35" max="35" width="5.83203125" bestFit="1" customWidth="1"/>
    <col min="36" max="36" width="7.1640625" bestFit="1" customWidth="1"/>
    <col min="37" max="37" width="10.1640625" bestFit="1" customWidth="1"/>
    <col min="38" max="42" width="2.83203125" bestFit="1" customWidth="1"/>
    <col min="43" max="43" width="3.6640625" bestFit="1" customWidth="1"/>
    <col min="44" max="44" width="7.1640625" bestFit="1" customWidth="1"/>
    <col min="45" max="45" width="10.1640625" bestFit="1" customWidth="1"/>
    <col min="46" max="50" width="3" bestFit="1" customWidth="1"/>
    <col min="51" max="51" width="5.83203125" bestFit="1" customWidth="1"/>
    <col min="52" max="52" width="7.1640625" bestFit="1" customWidth="1"/>
    <col min="53" max="53" width="10.1640625" bestFit="1" customWidth="1"/>
    <col min="54" max="58" width="2.83203125" bestFit="1" customWidth="1"/>
    <col min="59" max="59" width="3.6640625" bestFit="1" customWidth="1"/>
  </cols>
  <sheetData>
    <row r="1" spans="1:59" ht="12" customHeight="1" x14ac:dyDescent="0.2"/>
    <row r="2" spans="1:59" ht="22" customHeight="1" x14ac:dyDescent="0.2">
      <c r="A2" s="72" t="s">
        <v>0</v>
      </c>
      <c r="B2" s="73"/>
      <c r="C2" s="73"/>
      <c r="D2" s="73"/>
      <c r="E2" s="73"/>
      <c r="F2" s="73"/>
      <c r="G2" s="73"/>
      <c r="H2" s="73"/>
      <c r="J2" s="72" t="s">
        <v>1</v>
      </c>
      <c r="K2" s="73"/>
      <c r="L2" s="73"/>
      <c r="M2" s="73"/>
      <c r="N2" s="73"/>
      <c r="O2" s="73"/>
      <c r="P2" s="73"/>
      <c r="Q2" s="73"/>
      <c r="S2" s="72" t="s">
        <v>2</v>
      </c>
      <c r="T2" s="73"/>
      <c r="U2" s="73"/>
      <c r="V2" s="73"/>
      <c r="W2" s="73"/>
      <c r="X2" s="73"/>
      <c r="Y2" s="73"/>
      <c r="Z2" s="73"/>
      <c r="AB2" s="72" t="s">
        <v>3</v>
      </c>
      <c r="AC2" s="73"/>
      <c r="AD2" s="73"/>
      <c r="AE2" s="73"/>
      <c r="AF2" s="73"/>
      <c r="AG2" s="73"/>
      <c r="AH2" s="73"/>
      <c r="AI2" s="73"/>
      <c r="AR2" s="72" t="s">
        <v>0</v>
      </c>
      <c r="AS2" s="73"/>
      <c r="AT2" s="73"/>
      <c r="AU2" s="73"/>
      <c r="AV2" s="73"/>
      <c r="AW2" s="73"/>
      <c r="AX2" s="73"/>
      <c r="AY2" s="73"/>
    </row>
    <row r="3" spans="1:59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  <c r="AR3" s="1" t="s">
        <v>4</v>
      </c>
      <c r="AS3" s="1" t="s">
        <v>5</v>
      </c>
      <c r="AT3" s="1" t="s">
        <v>6</v>
      </c>
      <c r="AU3" s="1" t="s">
        <v>7</v>
      </c>
      <c r="AV3" s="1" t="s">
        <v>8</v>
      </c>
      <c r="AW3" s="1" t="s">
        <v>9</v>
      </c>
      <c r="AX3" s="1" t="s">
        <v>10</v>
      </c>
      <c r="AY3" s="1" t="s">
        <v>11</v>
      </c>
    </row>
    <row r="4" spans="1:59" ht="15" customHeight="1" x14ac:dyDescent="0.2">
      <c r="A4" s="2" t="s">
        <v>12</v>
      </c>
      <c r="B4" s="3" t="s">
        <v>13</v>
      </c>
      <c r="C4" s="3">
        <v>46</v>
      </c>
      <c r="D4" s="3">
        <v>3</v>
      </c>
      <c r="E4" s="3">
        <v>53</v>
      </c>
      <c r="F4" s="3">
        <v>80</v>
      </c>
      <c r="G4" s="3">
        <v>56</v>
      </c>
      <c r="H4" s="4">
        <f t="shared" ref="H4:H29" si="0">SUM(C4:G4)</f>
        <v>238</v>
      </c>
      <c r="J4" s="2" t="s">
        <v>14</v>
      </c>
      <c r="K4" s="3" t="s">
        <v>15</v>
      </c>
      <c r="L4" s="3">
        <v>52</v>
      </c>
      <c r="M4" s="3">
        <v>90</v>
      </c>
      <c r="N4" s="3">
        <v>20</v>
      </c>
      <c r="O4" s="3">
        <v>83</v>
      </c>
      <c r="P4" s="3">
        <v>24</v>
      </c>
      <c r="Q4" s="4">
        <f t="shared" ref="Q4:Q55" si="1">SUM(L4:P4)</f>
        <v>269</v>
      </c>
      <c r="S4" s="2" t="s">
        <v>16</v>
      </c>
      <c r="T4" s="3" t="s">
        <v>17</v>
      </c>
      <c r="U4" s="3">
        <v>83</v>
      </c>
      <c r="V4" s="3">
        <v>39</v>
      </c>
      <c r="W4" s="3">
        <v>45</v>
      </c>
      <c r="X4" s="3">
        <v>53</v>
      </c>
      <c r="Y4" s="3">
        <v>67</v>
      </c>
      <c r="Z4" s="4">
        <f t="shared" ref="Z4:Z55" si="2">SUM(U4:Y4)</f>
        <v>287</v>
      </c>
      <c r="AB4" s="2" t="s">
        <v>18</v>
      </c>
      <c r="AC4" s="3" t="s">
        <v>19</v>
      </c>
      <c r="AD4" s="3">
        <v>64</v>
      </c>
      <c r="AE4" s="3">
        <v>38</v>
      </c>
      <c r="AF4" s="3">
        <v>46</v>
      </c>
      <c r="AG4" s="3">
        <v>22</v>
      </c>
      <c r="AH4" s="3">
        <v>40</v>
      </c>
      <c r="AI4" s="4">
        <f t="shared" ref="AI4:AI29" si="3">SUM(AD4:AH4)</f>
        <v>210</v>
      </c>
      <c r="AJ4" s="2" t="s">
        <v>60</v>
      </c>
      <c r="AK4" s="3" t="s">
        <v>61</v>
      </c>
      <c r="AL4" s="3">
        <v>86</v>
      </c>
      <c r="AM4" s="3">
        <v>40</v>
      </c>
      <c r="AN4" s="3">
        <v>88</v>
      </c>
      <c r="AO4" s="3">
        <v>27</v>
      </c>
      <c r="AP4" s="3">
        <v>74</v>
      </c>
      <c r="AQ4" s="4">
        <f t="shared" ref="AQ4:AQ20" si="4">SUM(AL4:AP4)</f>
        <v>315</v>
      </c>
      <c r="AR4" s="2" t="s">
        <v>12</v>
      </c>
      <c r="AS4" s="3" t="s">
        <v>13</v>
      </c>
      <c r="AT4" s="3">
        <v>46</v>
      </c>
      <c r="AU4" s="3">
        <v>3</v>
      </c>
      <c r="AV4" s="3">
        <v>53</v>
      </c>
      <c r="AW4" s="3">
        <v>80</v>
      </c>
      <c r="AX4" s="3">
        <v>56</v>
      </c>
      <c r="AY4" s="4">
        <f t="shared" ref="AY4:AY33" si="5">SUM(AT4:AX4)</f>
        <v>238</v>
      </c>
      <c r="AZ4" s="2" t="s">
        <v>60</v>
      </c>
      <c r="BA4" s="3" t="s">
        <v>61</v>
      </c>
      <c r="BB4" s="3">
        <v>86</v>
      </c>
      <c r="BC4" s="3">
        <v>40</v>
      </c>
      <c r="BD4" s="3">
        <v>88</v>
      </c>
      <c r="BE4" s="3">
        <v>27</v>
      </c>
      <c r="BF4" s="3">
        <v>74</v>
      </c>
      <c r="BG4" s="4">
        <f t="shared" ref="BG4:BG20" si="6">SUM(BB4:BF4)</f>
        <v>315</v>
      </c>
    </row>
    <row r="5" spans="1:59" ht="15" customHeight="1" x14ac:dyDescent="0.2">
      <c r="A5" s="5" t="s">
        <v>20</v>
      </c>
      <c r="B5" s="6" t="s">
        <v>21</v>
      </c>
      <c r="C5" s="6">
        <v>43</v>
      </c>
      <c r="D5" s="44">
        <v>70</v>
      </c>
      <c r="E5" s="44">
        <v>52</v>
      </c>
      <c r="F5" s="6">
        <v>87</v>
      </c>
      <c r="G5" s="6">
        <v>90</v>
      </c>
      <c r="H5" s="4">
        <f t="shared" si="0"/>
        <v>342</v>
      </c>
      <c r="J5" s="5" t="s">
        <v>22</v>
      </c>
      <c r="K5" s="6" t="s">
        <v>23</v>
      </c>
      <c r="L5" s="6">
        <v>70</v>
      </c>
      <c r="M5" s="6">
        <v>74</v>
      </c>
      <c r="N5" s="6">
        <v>77</v>
      </c>
      <c r="O5" s="6">
        <v>12</v>
      </c>
      <c r="P5" s="6">
        <v>59</v>
      </c>
      <c r="Q5" s="4">
        <f t="shared" si="1"/>
        <v>292</v>
      </c>
      <c r="S5" s="5" t="s">
        <v>24</v>
      </c>
      <c r="T5" s="6" t="s">
        <v>25</v>
      </c>
      <c r="U5" s="6">
        <v>74</v>
      </c>
      <c r="V5" s="6">
        <v>44</v>
      </c>
      <c r="W5" s="6">
        <v>79</v>
      </c>
      <c r="X5" s="6">
        <v>72</v>
      </c>
      <c r="Y5" s="6">
        <v>32</v>
      </c>
      <c r="Z5" s="4">
        <f t="shared" si="2"/>
        <v>301</v>
      </c>
      <c r="AB5" s="5" t="s">
        <v>26</v>
      </c>
      <c r="AC5" s="6" t="s">
        <v>27</v>
      </c>
      <c r="AD5" s="6">
        <v>10</v>
      </c>
      <c r="AE5" s="6">
        <v>15</v>
      </c>
      <c r="AF5" s="6">
        <v>58</v>
      </c>
      <c r="AG5" s="6">
        <v>51</v>
      </c>
      <c r="AH5" s="6">
        <v>48</v>
      </c>
      <c r="AI5" s="4">
        <f t="shared" si="3"/>
        <v>182</v>
      </c>
      <c r="AJ5" s="5" t="s">
        <v>68</v>
      </c>
      <c r="AK5" s="6" t="s">
        <v>69</v>
      </c>
      <c r="AL5" s="44">
        <v>77</v>
      </c>
      <c r="AM5" s="6">
        <v>30</v>
      </c>
      <c r="AN5" s="6">
        <v>39</v>
      </c>
      <c r="AO5" s="6">
        <v>18</v>
      </c>
      <c r="AP5" s="6">
        <v>61</v>
      </c>
      <c r="AQ5" s="4">
        <f t="shared" si="4"/>
        <v>225</v>
      </c>
      <c r="AR5" s="5" t="s">
        <v>20</v>
      </c>
      <c r="AS5" s="6" t="s">
        <v>21</v>
      </c>
      <c r="AT5" s="6">
        <v>43</v>
      </c>
      <c r="AU5" s="44">
        <v>70</v>
      </c>
      <c r="AV5" s="44">
        <v>52</v>
      </c>
      <c r="AW5" s="6">
        <v>87</v>
      </c>
      <c r="AX5" s="6">
        <v>90</v>
      </c>
      <c r="AY5" s="4">
        <f t="shared" si="5"/>
        <v>342</v>
      </c>
      <c r="AZ5" s="5" t="s">
        <v>68</v>
      </c>
      <c r="BA5" s="6" t="s">
        <v>69</v>
      </c>
      <c r="BB5" s="44">
        <v>77</v>
      </c>
      <c r="BC5" s="6">
        <v>30</v>
      </c>
      <c r="BD5" s="6">
        <v>39</v>
      </c>
      <c r="BE5" s="6">
        <v>18</v>
      </c>
      <c r="BF5" s="6">
        <v>61</v>
      </c>
      <c r="BG5" s="4">
        <f t="shared" si="6"/>
        <v>225</v>
      </c>
    </row>
    <row r="6" spans="1:59" ht="15" customHeight="1" x14ac:dyDescent="0.2">
      <c r="A6" s="2" t="s">
        <v>28</v>
      </c>
      <c r="B6" s="3" t="s">
        <v>29</v>
      </c>
      <c r="C6" s="3">
        <v>76</v>
      </c>
      <c r="D6" s="44">
        <v>79</v>
      </c>
      <c r="E6" s="3">
        <v>61</v>
      </c>
      <c r="F6" s="3">
        <v>89</v>
      </c>
      <c r="G6" s="3">
        <v>75</v>
      </c>
      <c r="H6" s="4">
        <f t="shared" si="0"/>
        <v>380</v>
      </c>
      <c r="J6" s="2" t="s">
        <v>30</v>
      </c>
      <c r="K6" s="3" t="s">
        <v>31</v>
      </c>
      <c r="L6" s="3">
        <v>37</v>
      </c>
      <c r="M6" s="3">
        <v>41</v>
      </c>
      <c r="N6" s="3">
        <v>88</v>
      </c>
      <c r="O6" s="3">
        <v>15</v>
      </c>
      <c r="P6" s="3">
        <v>27</v>
      </c>
      <c r="Q6" s="4">
        <f t="shared" si="1"/>
        <v>208</v>
      </c>
      <c r="S6" s="2" t="s">
        <v>32</v>
      </c>
      <c r="T6" s="3" t="s">
        <v>33</v>
      </c>
      <c r="U6" s="3">
        <v>70</v>
      </c>
      <c r="V6" s="3">
        <v>17</v>
      </c>
      <c r="W6" s="3">
        <v>11</v>
      </c>
      <c r="X6" s="3">
        <v>37</v>
      </c>
      <c r="Y6" s="3">
        <v>60</v>
      </c>
      <c r="Z6" s="4">
        <f t="shared" si="2"/>
        <v>195</v>
      </c>
      <c r="AB6" s="2" t="s">
        <v>34</v>
      </c>
      <c r="AC6" s="3" t="s">
        <v>35</v>
      </c>
      <c r="AD6" s="3">
        <v>12</v>
      </c>
      <c r="AE6" s="3">
        <v>57</v>
      </c>
      <c r="AF6" s="3">
        <v>63</v>
      </c>
      <c r="AG6" s="3">
        <v>7</v>
      </c>
      <c r="AH6" s="3">
        <v>62</v>
      </c>
      <c r="AI6" s="4">
        <f t="shared" si="3"/>
        <v>201</v>
      </c>
      <c r="AJ6" s="2" t="s">
        <v>76</v>
      </c>
      <c r="AK6" s="3" t="s">
        <v>77</v>
      </c>
      <c r="AL6" s="3">
        <v>80</v>
      </c>
      <c r="AM6" s="3">
        <v>61</v>
      </c>
      <c r="AN6" s="3">
        <v>85</v>
      </c>
      <c r="AO6" s="3">
        <v>49</v>
      </c>
      <c r="AP6" s="3">
        <v>68</v>
      </c>
      <c r="AQ6" s="4">
        <f t="shared" si="4"/>
        <v>343</v>
      </c>
      <c r="AR6" s="2" t="s">
        <v>28</v>
      </c>
      <c r="AS6" s="3" t="s">
        <v>29</v>
      </c>
      <c r="AT6" s="3">
        <v>76</v>
      </c>
      <c r="AU6" s="44">
        <v>79</v>
      </c>
      <c r="AV6" s="3">
        <v>61</v>
      </c>
      <c r="AW6" s="3">
        <v>89</v>
      </c>
      <c r="AX6" s="3">
        <v>75</v>
      </c>
      <c r="AY6" s="4">
        <f t="shared" si="5"/>
        <v>380</v>
      </c>
      <c r="AZ6" s="2" t="s">
        <v>76</v>
      </c>
      <c r="BA6" s="3" t="s">
        <v>77</v>
      </c>
      <c r="BB6" s="3">
        <v>80</v>
      </c>
      <c r="BC6" s="3">
        <v>61</v>
      </c>
      <c r="BD6" s="3">
        <v>85</v>
      </c>
      <c r="BE6" s="3">
        <v>49</v>
      </c>
      <c r="BF6" s="3">
        <v>68</v>
      </c>
      <c r="BG6" s="4">
        <f t="shared" si="6"/>
        <v>343</v>
      </c>
    </row>
    <row r="7" spans="1:59" ht="15" customHeight="1" x14ac:dyDescent="0.2">
      <c r="A7" s="5" t="s">
        <v>36</v>
      </c>
      <c r="B7" s="6" t="s">
        <v>37</v>
      </c>
      <c r="C7" s="6">
        <v>8</v>
      </c>
      <c r="D7" s="44">
        <v>9</v>
      </c>
      <c r="E7" s="6">
        <v>63</v>
      </c>
      <c r="F7" s="6">
        <v>28</v>
      </c>
      <c r="G7" s="6">
        <v>22</v>
      </c>
      <c r="H7" s="4">
        <f t="shared" si="0"/>
        <v>130</v>
      </c>
      <c r="J7" s="5" t="s">
        <v>38</v>
      </c>
      <c r="K7" s="6" t="s">
        <v>39</v>
      </c>
      <c r="L7" s="6">
        <v>11</v>
      </c>
      <c r="M7" s="6">
        <v>50</v>
      </c>
      <c r="N7" s="6">
        <v>1</v>
      </c>
      <c r="O7" s="6">
        <v>37</v>
      </c>
      <c r="P7" s="6">
        <v>88</v>
      </c>
      <c r="Q7" s="4">
        <f t="shared" si="1"/>
        <v>187</v>
      </c>
      <c r="S7" s="5" t="s">
        <v>40</v>
      </c>
      <c r="T7" s="6" t="s">
        <v>41</v>
      </c>
      <c r="U7" s="6">
        <v>38</v>
      </c>
      <c r="V7" s="6">
        <v>17</v>
      </c>
      <c r="W7" s="6">
        <v>61</v>
      </c>
      <c r="X7" s="6">
        <v>47</v>
      </c>
      <c r="Y7" s="6">
        <v>25</v>
      </c>
      <c r="Z7" s="4">
        <f t="shared" si="2"/>
        <v>188</v>
      </c>
      <c r="AB7" s="5" t="s">
        <v>42</v>
      </c>
      <c r="AC7" s="6" t="s">
        <v>43</v>
      </c>
      <c r="AD7" s="6">
        <v>31</v>
      </c>
      <c r="AE7" s="6">
        <v>79</v>
      </c>
      <c r="AF7" s="6">
        <v>53</v>
      </c>
      <c r="AG7" s="6">
        <v>4</v>
      </c>
      <c r="AH7" s="6">
        <v>84</v>
      </c>
      <c r="AI7" s="4">
        <f t="shared" si="3"/>
        <v>251</v>
      </c>
      <c r="AJ7" s="5" t="s">
        <v>84</v>
      </c>
      <c r="AK7" s="6" t="s">
        <v>85</v>
      </c>
      <c r="AL7" s="6">
        <v>15</v>
      </c>
      <c r="AM7" s="6">
        <v>33</v>
      </c>
      <c r="AN7" s="6">
        <v>22</v>
      </c>
      <c r="AO7" s="44">
        <v>7</v>
      </c>
      <c r="AP7" s="6">
        <v>66</v>
      </c>
      <c r="AQ7" s="4">
        <f t="shared" si="4"/>
        <v>143</v>
      </c>
      <c r="AR7" s="5" t="s">
        <v>36</v>
      </c>
      <c r="AS7" s="6" t="s">
        <v>37</v>
      </c>
      <c r="AT7" s="6">
        <v>8</v>
      </c>
      <c r="AU7" s="44">
        <v>9</v>
      </c>
      <c r="AV7" s="6">
        <v>63</v>
      </c>
      <c r="AW7" s="6">
        <v>28</v>
      </c>
      <c r="AX7" s="6">
        <v>22</v>
      </c>
      <c r="AY7" s="4">
        <f t="shared" si="5"/>
        <v>130</v>
      </c>
      <c r="AZ7" s="5" t="s">
        <v>84</v>
      </c>
      <c r="BA7" s="6" t="s">
        <v>85</v>
      </c>
      <c r="BB7" s="6">
        <v>15</v>
      </c>
      <c r="BC7" s="6">
        <v>33</v>
      </c>
      <c r="BD7" s="6">
        <v>22</v>
      </c>
      <c r="BE7" s="44">
        <v>7</v>
      </c>
      <c r="BF7" s="6">
        <v>66</v>
      </c>
      <c r="BG7" s="4">
        <f t="shared" si="6"/>
        <v>143</v>
      </c>
    </row>
    <row r="8" spans="1:59" ht="15" customHeight="1" x14ac:dyDescent="0.2">
      <c r="A8" s="2" t="s">
        <v>44</v>
      </c>
      <c r="B8" s="3" t="s">
        <v>45</v>
      </c>
      <c r="C8" s="3">
        <v>61</v>
      </c>
      <c r="D8" s="3">
        <v>50</v>
      </c>
      <c r="E8" s="44">
        <v>9</v>
      </c>
      <c r="F8" s="42">
        <v>74</v>
      </c>
      <c r="G8" s="44">
        <v>52</v>
      </c>
      <c r="H8" s="4">
        <f t="shared" si="0"/>
        <v>246</v>
      </c>
      <c r="J8" s="2" t="s">
        <v>46</v>
      </c>
      <c r="K8" s="3" t="s">
        <v>47</v>
      </c>
      <c r="L8" s="3">
        <v>31</v>
      </c>
      <c r="M8" s="3">
        <v>52</v>
      </c>
      <c r="N8" s="3">
        <v>67</v>
      </c>
      <c r="O8" s="3">
        <v>81</v>
      </c>
      <c r="P8" s="3">
        <v>41</v>
      </c>
      <c r="Q8" s="4">
        <f t="shared" si="1"/>
        <v>272</v>
      </c>
      <c r="S8" s="2" t="s">
        <v>48</v>
      </c>
      <c r="T8" s="3" t="s">
        <v>49</v>
      </c>
      <c r="U8" s="3">
        <v>71</v>
      </c>
      <c r="V8" s="3">
        <v>27</v>
      </c>
      <c r="W8" s="3">
        <v>73</v>
      </c>
      <c r="X8" s="3">
        <v>45</v>
      </c>
      <c r="Y8" s="3">
        <v>17</v>
      </c>
      <c r="Z8" s="4">
        <f t="shared" si="2"/>
        <v>233</v>
      </c>
      <c r="AB8" s="2" t="s">
        <v>50</v>
      </c>
      <c r="AC8" s="3" t="s">
        <v>51</v>
      </c>
      <c r="AD8" s="3">
        <v>69</v>
      </c>
      <c r="AE8" s="3">
        <v>89</v>
      </c>
      <c r="AF8" s="3">
        <v>53</v>
      </c>
      <c r="AG8" s="3">
        <v>11</v>
      </c>
      <c r="AH8" s="3">
        <v>60</v>
      </c>
      <c r="AI8" s="4">
        <f t="shared" si="3"/>
        <v>282</v>
      </c>
      <c r="AJ8" s="2" t="s">
        <v>92</v>
      </c>
      <c r="AK8" s="3" t="s">
        <v>93</v>
      </c>
      <c r="AL8" s="3">
        <v>84</v>
      </c>
      <c r="AM8" s="3">
        <v>40</v>
      </c>
      <c r="AN8" s="3">
        <v>58</v>
      </c>
      <c r="AO8" s="3">
        <v>41</v>
      </c>
      <c r="AP8" s="3">
        <v>2</v>
      </c>
      <c r="AQ8" s="4">
        <f t="shared" si="4"/>
        <v>225</v>
      </c>
      <c r="AR8" s="2" t="s">
        <v>44</v>
      </c>
      <c r="AS8" s="3" t="s">
        <v>45</v>
      </c>
      <c r="AT8" s="3">
        <v>61</v>
      </c>
      <c r="AU8" s="3">
        <v>50</v>
      </c>
      <c r="AV8" s="44">
        <v>9</v>
      </c>
      <c r="AW8" s="42">
        <v>74</v>
      </c>
      <c r="AX8" s="44">
        <v>52</v>
      </c>
      <c r="AY8" s="4">
        <f t="shared" si="5"/>
        <v>246</v>
      </c>
      <c r="AZ8" s="2" t="s">
        <v>92</v>
      </c>
      <c r="BA8" s="3" t="s">
        <v>93</v>
      </c>
      <c r="BB8" s="3">
        <v>84</v>
      </c>
      <c r="BC8" s="3">
        <v>40</v>
      </c>
      <c r="BD8" s="3">
        <v>58</v>
      </c>
      <c r="BE8" s="3">
        <v>41</v>
      </c>
      <c r="BF8" s="3">
        <v>2</v>
      </c>
      <c r="BG8" s="4">
        <f t="shared" si="6"/>
        <v>225</v>
      </c>
    </row>
    <row r="9" spans="1:59" ht="15" customHeight="1" x14ac:dyDescent="0.2">
      <c r="A9" s="5" t="s">
        <v>52</v>
      </c>
      <c r="B9" s="6" t="s">
        <v>53</v>
      </c>
      <c r="C9" s="6">
        <v>62</v>
      </c>
      <c r="D9" s="6">
        <v>16</v>
      </c>
      <c r="E9" s="6">
        <v>34</v>
      </c>
      <c r="F9" s="6">
        <v>19</v>
      </c>
      <c r="G9" s="6">
        <v>55</v>
      </c>
      <c r="H9" s="4">
        <f t="shared" si="0"/>
        <v>186</v>
      </c>
      <c r="J9" s="5" t="s">
        <v>54</v>
      </c>
      <c r="K9" s="6" t="s">
        <v>55</v>
      </c>
      <c r="L9" s="6">
        <v>77</v>
      </c>
      <c r="M9" s="6">
        <v>78</v>
      </c>
      <c r="N9" s="6">
        <v>66</v>
      </c>
      <c r="O9" s="6">
        <v>41</v>
      </c>
      <c r="P9" s="6">
        <v>16</v>
      </c>
      <c r="Q9" s="4">
        <f t="shared" si="1"/>
        <v>278</v>
      </c>
      <c r="S9" s="5" t="s">
        <v>56</v>
      </c>
      <c r="T9" s="6" t="s">
        <v>57</v>
      </c>
      <c r="U9" s="6">
        <v>77</v>
      </c>
      <c r="V9" s="6">
        <v>22</v>
      </c>
      <c r="W9" s="6">
        <v>28</v>
      </c>
      <c r="X9" s="6">
        <v>20</v>
      </c>
      <c r="Y9" s="6">
        <v>18</v>
      </c>
      <c r="Z9" s="4">
        <f t="shared" si="2"/>
        <v>165</v>
      </c>
      <c r="AB9" s="5" t="s">
        <v>58</v>
      </c>
      <c r="AC9" s="6" t="s">
        <v>59</v>
      </c>
      <c r="AD9" s="6">
        <v>34</v>
      </c>
      <c r="AE9" s="6">
        <v>21</v>
      </c>
      <c r="AF9" s="6">
        <v>24</v>
      </c>
      <c r="AG9" s="6">
        <v>29</v>
      </c>
      <c r="AH9" s="6">
        <v>68</v>
      </c>
      <c r="AI9" s="4">
        <f t="shared" si="3"/>
        <v>176</v>
      </c>
      <c r="AJ9" s="5" t="s">
        <v>100</v>
      </c>
      <c r="AK9" s="6" t="s">
        <v>101</v>
      </c>
      <c r="AL9" s="6">
        <v>18</v>
      </c>
      <c r="AM9" s="6">
        <v>62</v>
      </c>
      <c r="AN9" s="6">
        <v>76</v>
      </c>
      <c r="AO9" s="6">
        <v>65</v>
      </c>
      <c r="AP9" s="6">
        <v>43</v>
      </c>
      <c r="AQ9" s="4">
        <f t="shared" si="4"/>
        <v>264</v>
      </c>
      <c r="AR9" s="5" t="s">
        <v>52</v>
      </c>
      <c r="AS9" s="6" t="s">
        <v>53</v>
      </c>
      <c r="AT9" s="6">
        <v>62</v>
      </c>
      <c r="AU9" s="6">
        <v>16</v>
      </c>
      <c r="AV9" s="6">
        <v>34</v>
      </c>
      <c r="AW9" s="6">
        <v>19</v>
      </c>
      <c r="AX9" s="6">
        <v>55</v>
      </c>
      <c r="AY9" s="4">
        <f t="shared" si="5"/>
        <v>186</v>
      </c>
      <c r="AZ9" s="5" t="s">
        <v>100</v>
      </c>
      <c r="BA9" s="6" t="s">
        <v>101</v>
      </c>
      <c r="BB9" s="6">
        <v>18</v>
      </c>
      <c r="BC9" s="6">
        <v>62</v>
      </c>
      <c r="BD9" s="6">
        <v>76</v>
      </c>
      <c r="BE9" s="6">
        <v>65</v>
      </c>
      <c r="BF9" s="6">
        <v>43</v>
      </c>
      <c r="BG9" s="4">
        <f t="shared" si="6"/>
        <v>264</v>
      </c>
    </row>
    <row r="10" spans="1:59" ht="15" customHeight="1" x14ac:dyDescent="0.2">
      <c r="A10" s="2" t="s">
        <v>60</v>
      </c>
      <c r="B10" s="3" t="s">
        <v>61</v>
      </c>
      <c r="C10" s="3">
        <v>86</v>
      </c>
      <c r="D10" s="3">
        <v>40</v>
      </c>
      <c r="E10" s="3">
        <v>88</v>
      </c>
      <c r="F10" s="3">
        <v>27</v>
      </c>
      <c r="G10" s="3">
        <v>74</v>
      </c>
      <c r="H10" s="4">
        <f t="shared" si="0"/>
        <v>315</v>
      </c>
      <c r="J10" s="2" t="s">
        <v>62</v>
      </c>
      <c r="K10" s="3" t="s">
        <v>63</v>
      </c>
      <c r="L10" s="3">
        <v>57</v>
      </c>
      <c r="M10" s="3">
        <v>40</v>
      </c>
      <c r="N10" s="3">
        <v>38</v>
      </c>
      <c r="O10" s="3">
        <v>72</v>
      </c>
      <c r="P10" s="3">
        <v>84</v>
      </c>
      <c r="Q10" s="4">
        <f t="shared" si="1"/>
        <v>291</v>
      </c>
      <c r="S10" s="2" t="s">
        <v>64</v>
      </c>
      <c r="T10" s="3" t="s">
        <v>65</v>
      </c>
      <c r="U10" s="3">
        <v>44</v>
      </c>
      <c r="V10" s="3">
        <v>8</v>
      </c>
      <c r="W10" s="3">
        <v>34</v>
      </c>
      <c r="X10" s="3">
        <v>63</v>
      </c>
      <c r="Y10" s="3">
        <v>6</v>
      </c>
      <c r="Z10" s="4">
        <f t="shared" si="2"/>
        <v>155</v>
      </c>
      <c r="AB10" s="2" t="s">
        <v>66</v>
      </c>
      <c r="AC10" s="3" t="s">
        <v>67</v>
      </c>
      <c r="AD10" s="3">
        <v>17</v>
      </c>
      <c r="AE10" s="3">
        <v>51</v>
      </c>
      <c r="AF10" s="3">
        <v>36</v>
      </c>
      <c r="AG10" s="3">
        <v>64</v>
      </c>
      <c r="AH10" s="3">
        <v>53</v>
      </c>
      <c r="AI10" s="4">
        <f t="shared" si="3"/>
        <v>221</v>
      </c>
      <c r="AJ10" s="2" t="s">
        <v>108</v>
      </c>
      <c r="AK10" s="3" t="s">
        <v>109</v>
      </c>
      <c r="AL10" s="3">
        <v>30</v>
      </c>
      <c r="AM10" s="3">
        <v>16</v>
      </c>
      <c r="AN10" s="3">
        <v>22</v>
      </c>
      <c r="AO10" s="3">
        <v>2</v>
      </c>
      <c r="AP10" s="3">
        <v>85</v>
      </c>
      <c r="AQ10" s="4">
        <f t="shared" si="4"/>
        <v>155</v>
      </c>
      <c r="AR10" s="2" t="s">
        <v>60</v>
      </c>
      <c r="AS10" s="3" t="s">
        <v>61</v>
      </c>
      <c r="AT10" s="3">
        <v>86</v>
      </c>
      <c r="AU10" s="3">
        <v>40</v>
      </c>
      <c r="AV10" s="3">
        <v>88</v>
      </c>
      <c r="AW10" s="3">
        <v>27</v>
      </c>
      <c r="AX10" s="3">
        <v>74</v>
      </c>
      <c r="AY10" s="4">
        <f t="shared" si="5"/>
        <v>315</v>
      </c>
      <c r="AZ10" s="2" t="s">
        <v>108</v>
      </c>
      <c r="BA10" s="3" t="s">
        <v>109</v>
      </c>
      <c r="BB10" s="3">
        <v>30</v>
      </c>
      <c r="BC10" s="3">
        <v>16</v>
      </c>
      <c r="BD10" s="3">
        <v>22</v>
      </c>
      <c r="BE10" s="3">
        <v>2</v>
      </c>
      <c r="BF10" s="3">
        <v>85</v>
      </c>
      <c r="BG10" s="4">
        <f t="shared" si="6"/>
        <v>155</v>
      </c>
    </row>
    <row r="11" spans="1:59" ht="15" customHeight="1" x14ac:dyDescent="0.2">
      <c r="A11" s="5" t="s">
        <v>68</v>
      </c>
      <c r="B11" s="6" t="s">
        <v>69</v>
      </c>
      <c r="C11" s="44">
        <v>77</v>
      </c>
      <c r="D11" s="6">
        <v>30</v>
      </c>
      <c r="E11" s="6">
        <v>39</v>
      </c>
      <c r="F11" s="6">
        <v>18</v>
      </c>
      <c r="G11" s="6">
        <v>61</v>
      </c>
      <c r="H11" s="4">
        <f t="shared" si="0"/>
        <v>225</v>
      </c>
      <c r="J11" s="5" t="s">
        <v>70</v>
      </c>
      <c r="K11" s="6" t="s">
        <v>71</v>
      </c>
      <c r="L11" s="6">
        <v>11</v>
      </c>
      <c r="M11" s="6">
        <v>61</v>
      </c>
      <c r="N11" s="6">
        <v>54</v>
      </c>
      <c r="O11" s="6">
        <v>57</v>
      </c>
      <c r="P11" s="6">
        <v>50</v>
      </c>
      <c r="Q11" s="4">
        <f t="shared" si="1"/>
        <v>233</v>
      </c>
      <c r="S11" s="5" t="s">
        <v>72</v>
      </c>
      <c r="T11" s="6" t="s">
        <v>73</v>
      </c>
      <c r="U11" s="6">
        <v>85</v>
      </c>
      <c r="V11" s="6">
        <v>17</v>
      </c>
      <c r="W11" s="6">
        <v>38</v>
      </c>
      <c r="X11" s="6">
        <v>27</v>
      </c>
      <c r="Y11" s="6">
        <v>9</v>
      </c>
      <c r="Z11" s="4">
        <f t="shared" si="2"/>
        <v>176</v>
      </c>
      <c r="AB11" s="5" t="s">
        <v>74</v>
      </c>
      <c r="AC11" s="6" t="s">
        <v>75</v>
      </c>
      <c r="AD11" s="6">
        <v>25</v>
      </c>
      <c r="AE11" s="6">
        <v>68</v>
      </c>
      <c r="AF11" s="6">
        <v>27</v>
      </c>
      <c r="AG11" s="6">
        <v>34</v>
      </c>
      <c r="AH11" s="6">
        <v>78</v>
      </c>
      <c r="AI11" s="4">
        <f t="shared" si="3"/>
        <v>232</v>
      </c>
      <c r="AJ11" s="5" t="s">
        <v>116</v>
      </c>
      <c r="AK11" s="6" t="s">
        <v>117</v>
      </c>
      <c r="AL11" s="6">
        <v>6</v>
      </c>
      <c r="AM11" s="6">
        <v>11</v>
      </c>
      <c r="AN11" s="6">
        <v>52</v>
      </c>
      <c r="AO11" s="44">
        <v>70</v>
      </c>
      <c r="AP11" s="39">
        <v>49</v>
      </c>
      <c r="AQ11" s="4">
        <f t="shared" si="4"/>
        <v>188</v>
      </c>
      <c r="AR11" s="5" t="s">
        <v>68</v>
      </c>
      <c r="AS11" s="6" t="s">
        <v>69</v>
      </c>
      <c r="AT11" s="44">
        <v>77</v>
      </c>
      <c r="AU11" s="6">
        <v>30</v>
      </c>
      <c r="AV11" s="6">
        <v>39</v>
      </c>
      <c r="AW11" s="6">
        <v>18</v>
      </c>
      <c r="AX11" s="6">
        <v>61</v>
      </c>
      <c r="AY11" s="4">
        <f t="shared" si="5"/>
        <v>225</v>
      </c>
      <c r="AZ11" s="5" t="s">
        <v>116</v>
      </c>
      <c r="BA11" s="6" t="s">
        <v>117</v>
      </c>
      <c r="BB11" s="6">
        <v>6</v>
      </c>
      <c r="BC11" s="6">
        <v>11</v>
      </c>
      <c r="BD11" s="6">
        <v>52</v>
      </c>
      <c r="BE11" s="44">
        <v>70</v>
      </c>
      <c r="BF11" s="39">
        <v>49</v>
      </c>
      <c r="BG11" s="4">
        <f t="shared" si="6"/>
        <v>188</v>
      </c>
    </row>
    <row r="12" spans="1:59" ht="15" customHeight="1" x14ac:dyDescent="0.2">
      <c r="A12" s="2" t="s">
        <v>76</v>
      </c>
      <c r="B12" s="3" t="s">
        <v>77</v>
      </c>
      <c r="C12" s="3">
        <v>80</v>
      </c>
      <c r="D12" s="3">
        <v>61</v>
      </c>
      <c r="E12" s="3">
        <v>85</v>
      </c>
      <c r="F12" s="3">
        <v>49</v>
      </c>
      <c r="G12" s="3">
        <v>68</v>
      </c>
      <c r="H12" s="4">
        <f t="shared" si="0"/>
        <v>343</v>
      </c>
      <c r="J12" s="2" t="s">
        <v>78</v>
      </c>
      <c r="K12" s="3" t="s">
        <v>79</v>
      </c>
      <c r="L12" s="3">
        <v>20</v>
      </c>
      <c r="M12" s="3">
        <v>71</v>
      </c>
      <c r="N12" s="3">
        <v>83</v>
      </c>
      <c r="O12" s="3">
        <v>82</v>
      </c>
      <c r="P12" s="3">
        <v>76</v>
      </c>
      <c r="Q12" s="4">
        <f t="shared" si="1"/>
        <v>332</v>
      </c>
      <c r="S12" s="2" t="s">
        <v>80</v>
      </c>
      <c r="T12" s="3" t="s">
        <v>81</v>
      </c>
      <c r="U12" s="3">
        <v>11</v>
      </c>
      <c r="V12" s="3">
        <v>81</v>
      </c>
      <c r="W12" s="3">
        <v>56</v>
      </c>
      <c r="X12" s="3">
        <v>18</v>
      </c>
      <c r="Y12" s="3">
        <v>4</v>
      </c>
      <c r="Z12" s="4">
        <f t="shared" si="2"/>
        <v>170</v>
      </c>
      <c r="AB12" s="2" t="s">
        <v>82</v>
      </c>
      <c r="AC12" s="3" t="s">
        <v>83</v>
      </c>
      <c r="AD12" s="3">
        <v>23</v>
      </c>
      <c r="AE12" s="3">
        <v>5</v>
      </c>
      <c r="AF12" s="3">
        <v>65</v>
      </c>
      <c r="AG12" s="3">
        <v>37</v>
      </c>
      <c r="AH12" s="3">
        <v>22</v>
      </c>
      <c r="AI12" s="4">
        <f t="shared" si="3"/>
        <v>152</v>
      </c>
      <c r="AJ12" s="2" t="s">
        <v>124</v>
      </c>
      <c r="AK12" s="3" t="s">
        <v>125</v>
      </c>
      <c r="AL12" s="3">
        <v>38</v>
      </c>
      <c r="AM12" s="3">
        <v>17</v>
      </c>
      <c r="AN12" s="3">
        <v>3</v>
      </c>
      <c r="AO12" s="3">
        <v>74</v>
      </c>
      <c r="AP12" s="3">
        <v>39</v>
      </c>
      <c r="AQ12" s="4">
        <f t="shared" si="4"/>
        <v>171</v>
      </c>
      <c r="AR12" s="2" t="s">
        <v>76</v>
      </c>
      <c r="AS12" s="3" t="s">
        <v>77</v>
      </c>
      <c r="AT12" s="3">
        <v>80</v>
      </c>
      <c r="AU12" s="3">
        <v>61</v>
      </c>
      <c r="AV12" s="3">
        <v>85</v>
      </c>
      <c r="AW12" s="3">
        <v>49</v>
      </c>
      <c r="AX12" s="3">
        <v>68</v>
      </c>
      <c r="AY12" s="4">
        <f t="shared" si="5"/>
        <v>343</v>
      </c>
      <c r="AZ12" s="2" t="s">
        <v>124</v>
      </c>
      <c r="BA12" s="3" t="s">
        <v>125</v>
      </c>
      <c r="BB12" s="3">
        <v>38</v>
      </c>
      <c r="BC12" s="3">
        <v>17</v>
      </c>
      <c r="BD12" s="3">
        <v>3</v>
      </c>
      <c r="BE12" s="3">
        <v>74</v>
      </c>
      <c r="BF12" s="3">
        <v>39</v>
      </c>
      <c r="BG12" s="4">
        <f t="shared" si="6"/>
        <v>171</v>
      </c>
    </row>
    <row r="13" spans="1:59" ht="15" customHeight="1" x14ac:dyDescent="0.2">
      <c r="A13" s="5" t="s">
        <v>84</v>
      </c>
      <c r="B13" s="6" t="s">
        <v>85</v>
      </c>
      <c r="C13" s="6">
        <v>15</v>
      </c>
      <c r="D13" s="6">
        <v>33</v>
      </c>
      <c r="E13" s="6">
        <v>22</v>
      </c>
      <c r="F13" s="44">
        <v>7</v>
      </c>
      <c r="G13" s="6">
        <v>66</v>
      </c>
      <c r="H13" s="4">
        <f t="shared" si="0"/>
        <v>143</v>
      </c>
      <c r="J13" s="5" t="s">
        <v>86</v>
      </c>
      <c r="K13" s="6" t="s">
        <v>87</v>
      </c>
      <c r="L13" s="6">
        <v>50</v>
      </c>
      <c r="M13" s="6">
        <v>74</v>
      </c>
      <c r="N13" s="6">
        <v>61</v>
      </c>
      <c r="O13" s="6">
        <v>69</v>
      </c>
      <c r="P13" s="6">
        <v>18</v>
      </c>
      <c r="Q13" s="4">
        <f t="shared" si="1"/>
        <v>272</v>
      </c>
      <c r="S13" s="5" t="s">
        <v>88</v>
      </c>
      <c r="T13" s="6" t="s">
        <v>89</v>
      </c>
      <c r="U13" s="6">
        <v>27</v>
      </c>
      <c r="V13" s="6">
        <v>20</v>
      </c>
      <c r="W13" s="6">
        <v>37</v>
      </c>
      <c r="X13" s="6">
        <v>14</v>
      </c>
      <c r="Y13" s="6">
        <v>4</v>
      </c>
      <c r="Z13" s="4">
        <f t="shared" si="2"/>
        <v>102</v>
      </c>
      <c r="AB13" s="5" t="s">
        <v>90</v>
      </c>
      <c r="AC13" s="6" t="s">
        <v>91</v>
      </c>
      <c r="AD13" s="6">
        <v>89</v>
      </c>
      <c r="AE13" s="6">
        <v>45</v>
      </c>
      <c r="AF13" s="6">
        <v>6</v>
      </c>
      <c r="AG13" s="6">
        <v>85</v>
      </c>
      <c r="AH13" s="6">
        <v>10</v>
      </c>
      <c r="AI13" s="4">
        <f t="shared" si="3"/>
        <v>235</v>
      </c>
      <c r="AJ13" s="5" t="s">
        <v>132</v>
      </c>
      <c r="AK13" s="6" t="s">
        <v>133</v>
      </c>
      <c r="AL13" s="6">
        <v>27</v>
      </c>
      <c r="AM13" s="6">
        <v>48</v>
      </c>
      <c r="AN13" s="42">
        <v>14</v>
      </c>
      <c r="AO13" s="6">
        <v>38</v>
      </c>
      <c r="AP13" s="39">
        <v>81</v>
      </c>
      <c r="AQ13" s="4">
        <f t="shared" si="4"/>
        <v>208</v>
      </c>
      <c r="AR13" s="5" t="s">
        <v>84</v>
      </c>
      <c r="AS13" s="6" t="s">
        <v>85</v>
      </c>
      <c r="AT13" s="6">
        <v>15</v>
      </c>
      <c r="AU13" s="6">
        <v>33</v>
      </c>
      <c r="AV13" s="6">
        <v>22</v>
      </c>
      <c r="AW13" s="44">
        <v>7</v>
      </c>
      <c r="AX13" s="6">
        <v>66</v>
      </c>
      <c r="AY13" s="4">
        <f t="shared" si="5"/>
        <v>143</v>
      </c>
      <c r="AZ13" s="5" t="s">
        <v>132</v>
      </c>
      <c r="BA13" s="6" t="s">
        <v>133</v>
      </c>
      <c r="BB13" s="6">
        <v>27</v>
      </c>
      <c r="BC13" s="6">
        <v>48</v>
      </c>
      <c r="BD13" s="42">
        <v>14</v>
      </c>
      <c r="BE13" s="6">
        <v>38</v>
      </c>
      <c r="BF13" s="39">
        <v>81</v>
      </c>
      <c r="BG13" s="4">
        <f t="shared" si="6"/>
        <v>208</v>
      </c>
    </row>
    <row r="14" spans="1:59" ht="15" customHeight="1" x14ac:dyDescent="0.2">
      <c r="A14" s="2" t="s">
        <v>92</v>
      </c>
      <c r="B14" s="3" t="s">
        <v>93</v>
      </c>
      <c r="C14" s="3">
        <v>84</v>
      </c>
      <c r="D14" s="3">
        <v>40</v>
      </c>
      <c r="E14" s="3">
        <v>58</v>
      </c>
      <c r="F14" s="3">
        <v>41</v>
      </c>
      <c r="G14" s="3">
        <v>2</v>
      </c>
      <c r="H14" s="4">
        <f t="shared" si="0"/>
        <v>225</v>
      </c>
      <c r="J14" s="2" t="s">
        <v>94</v>
      </c>
      <c r="K14" s="3" t="s">
        <v>95</v>
      </c>
      <c r="L14" s="3">
        <v>55</v>
      </c>
      <c r="M14" s="3">
        <v>62</v>
      </c>
      <c r="N14" s="3">
        <v>80</v>
      </c>
      <c r="O14" s="3">
        <v>35</v>
      </c>
      <c r="P14" s="3">
        <v>6</v>
      </c>
      <c r="Q14" s="4">
        <f t="shared" si="1"/>
        <v>238</v>
      </c>
      <c r="S14" s="2" t="s">
        <v>96</v>
      </c>
      <c r="T14" s="3" t="s">
        <v>97</v>
      </c>
      <c r="U14" s="3">
        <v>8</v>
      </c>
      <c r="V14" s="3">
        <v>62</v>
      </c>
      <c r="W14" s="3">
        <v>66</v>
      </c>
      <c r="X14" s="3">
        <v>33</v>
      </c>
      <c r="Y14" s="3">
        <v>45</v>
      </c>
      <c r="Z14" s="4">
        <f t="shared" si="2"/>
        <v>214</v>
      </c>
      <c r="AB14" s="2" t="s">
        <v>98</v>
      </c>
      <c r="AC14" s="3" t="s">
        <v>99</v>
      </c>
      <c r="AD14" s="3">
        <v>43</v>
      </c>
      <c r="AE14" s="3">
        <v>60</v>
      </c>
      <c r="AF14" s="3">
        <v>63</v>
      </c>
      <c r="AG14" s="3">
        <v>33</v>
      </c>
      <c r="AH14" s="3">
        <v>20</v>
      </c>
      <c r="AI14" s="4">
        <f t="shared" si="3"/>
        <v>219</v>
      </c>
      <c r="AJ14" s="2" t="s">
        <v>140</v>
      </c>
      <c r="AK14" s="3" t="s">
        <v>141</v>
      </c>
      <c r="AL14" s="3">
        <v>50</v>
      </c>
      <c r="AM14" s="3">
        <v>55</v>
      </c>
      <c r="AN14" s="3">
        <v>43</v>
      </c>
      <c r="AO14" s="3">
        <v>16</v>
      </c>
      <c r="AP14" s="3">
        <v>52</v>
      </c>
      <c r="AQ14" s="4">
        <f t="shared" si="4"/>
        <v>216</v>
      </c>
      <c r="AR14" s="2" t="s">
        <v>92</v>
      </c>
      <c r="AS14" s="3" t="s">
        <v>93</v>
      </c>
      <c r="AT14" s="3">
        <v>84</v>
      </c>
      <c r="AU14" s="3">
        <v>40</v>
      </c>
      <c r="AV14" s="3">
        <v>58</v>
      </c>
      <c r="AW14" s="3">
        <v>41</v>
      </c>
      <c r="AX14" s="3">
        <v>2</v>
      </c>
      <c r="AY14" s="4">
        <f t="shared" si="5"/>
        <v>225</v>
      </c>
      <c r="AZ14" s="2" t="s">
        <v>140</v>
      </c>
      <c r="BA14" s="3" t="s">
        <v>141</v>
      </c>
      <c r="BB14" s="3">
        <v>50</v>
      </c>
      <c r="BC14" s="3">
        <v>55</v>
      </c>
      <c r="BD14" s="3">
        <v>43</v>
      </c>
      <c r="BE14" s="3">
        <v>16</v>
      </c>
      <c r="BF14" s="3">
        <v>52</v>
      </c>
      <c r="BG14" s="4">
        <f t="shared" si="6"/>
        <v>216</v>
      </c>
    </row>
    <row r="15" spans="1:59" ht="15" customHeight="1" x14ac:dyDescent="0.2">
      <c r="A15" s="5" t="s">
        <v>100</v>
      </c>
      <c r="B15" s="6" t="s">
        <v>101</v>
      </c>
      <c r="C15" s="6">
        <v>18</v>
      </c>
      <c r="D15" s="6">
        <v>62</v>
      </c>
      <c r="E15" s="6">
        <v>76</v>
      </c>
      <c r="F15" s="6">
        <v>65</v>
      </c>
      <c r="G15" s="6">
        <v>43</v>
      </c>
      <c r="H15" s="4">
        <f t="shared" si="0"/>
        <v>264</v>
      </c>
      <c r="J15" s="5" t="s">
        <v>102</v>
      </c>
      <c r="K15" s="6" t="s">
        <v>103</v>
      </c>
      <c r="L15" s="6">
        <v>24</v>
      </c>
      <c r="M15" s="6">
        <v>37</v>
      </c>
      <c r="N15" s="6">
        <v>76</v>
      </c>
      <c r="O15" s="6">
        <v>60</v>
      </c>
      <c r="P15" s="6">
        <v>59</v>
      </c>
      <c r="Q15" s="4">
        <f t="shared" si="1"/>
        <v>256</v>
      </c>
      <c r="S15" s="5" t="s">
        <v>104</v>
      </c>
      <c r="T15" s="6" t="s">
        <v>389</v>
      </c>
      <c r="U15" s="6">
        <v>29</v>
      </c>
      <c r="V15" s="6">
        <v>46</v>
      </c>
      <c r="W15" s="6">
        <v>28</v>
      </c>
      <c r="X15" s="6">
        <v>73</v>
      </c>
      <c r="Y15" s="6">
        <v>21</v>
      </c>
      <c r="Z15" s="4">
        <f t="shared" si="2"/>
        <v>197</v>
      </c>
      <c r="AB15" s="5" t="s">
        <v>106</v>
      </c>
      <c r="AC15" s="6" t="s">
        <v>107</v>
      </c>
      <c r="AD15" s="6">
        <v>16</v>
      </c>
      <c r="AE15" s="6">
        <v>55</v>
      </c>
      <c r="AF15" s="6">
        <v>88</v>
      </c>
      <c r="AG15" s="6">
        <v>41</v>
      </c>
      <c r="AH15" s="6">
        <v>58</v>
      </c>
      <c r="AI15" s="4">
        <f t="shared" si="3"/>
        <v>258</v>
      </c>
      <c r="AJ15" s="5" t="s">
        <v>148</v>
      </c>
      <c r="AK15" s="6" t="s">
        <v>149</v>
      </c>
      <c r="AL15" s="48">
        <v>22</v>
      </c>
      <c r="AM15" s="6">
        <v>39</v>
      </c>
      <c r="AN15" s="6">
        <v>44</v>
      </c>
      <c r="AO15" s="6">
        <v>47</v>
      </c>
      <c r="AP15" s="6">
        <v>15</v>
      </c>
      <c r="AQ15" s="4">
        <f t="shared" si="4"/>
        <v>167</v>
      </c>
      <c r="AR15" s="5" t="s">
        <v>100</v>
      </c>
      <c r="AS15" s="6" t="s">
        <v>101</v>
      </c>
      <c r="AT15" s="6">
        <v>18</v>
      </c>
      <c r="AU15" s="49">
        <v>62</v>
      </c>
      <c r="AV15" s="6">
        <v>76</v>
      </c>
      <c r="AW15" s="6">
        <v>65</v>
      </c>
      <c r="AX15" s="6">
        <v>43</v>
      </c>
      <c r="AY15" s="4">
        <f t="shared" si="5"/>
        <v>264</v>
      </c>
      <c r="AZ15" s="5" t="s">
        <v>148</v>
      </c>
      <c r="BA15" s="6" t="s">
        <v>149</v>
      </c>
      <c r="BB15" s="48">
        <v>22</v>
      </c>
      <c r="BC15" s="6">
        <v>39</v>
      </c>
      <c r="BD15" s="6">
        <v>44</v>
      </c>
      <c r="BE15" s="6">
        <v>47</v>
      </c>
      <c r="BF15" s="6">
        <v>15</v>
      </c>
      <c r="BG15" s="4">
        <f t="shared" si="6"/>
        <v>167</v>
      </c>
    </row>
    <row r="16" spans="1:59" ht="15" customHeight="1" x14ac:dyDescent="0.2">
      <c r="A16" s="2" t="s">
        <v>108</v>
      </c>
      <c r="B16" s="3" t="s">
        <v>109</v>
      </c>
      <c r="C16" s="3">
        <v>30</v>
      </c>
      <c r="D16" s="3">
        <v>16</v>
      </c>
      <c r="E16" s="3">
        <v>22</v>
      </c>
      <c r="F16" s="3">
        <v>2</v>
      </c>
      <c r="G16" s="3">
        <v>85</v>
      </c>
      <c r="H16" s="4">
        <f t="shared" si="0"/>
        <v>155</v>
      </c>
      <c r="J16" s="2" t="s">
        <v>110</v>
      </c>
      <c r="K16" s="3" t="s">
        <v>111</v>
      </c>
      <c r="L16" s="3">
        <v>61</v>
      </c>
      <c r="M16" s="3">
        <v>22</v>
      </c>
      <c r="N16" s="3">
        <v>55</v>
      </c>
      <c r="O16" s="3">
        <v>37</v>
      </c>
      <c r="P16" s="3">
        <v>48</v>
      </c>
      <c r="Q16" s="4">
        <f t="shared" si="1"/>
        <v>223</v>
      </c>
      <c r="S16" s="2" t="s">
        <v>112</v>
      </c>
      <c r="T16" s="3" t="s">
        <v>113</v>
      </c>
      <c r="U16" s="3">
        <v>88</v>
      </c>
      <c r="V16" s="3">
        <v>71</v>
      </c>
      <c r="W16" s="3">
        <v>13</v>
      </c>
      <c r="X16" s="3">
        <v>25</v>
      </c>
      <c r="Y16" s="3">
        <v>4</v>
      </c>
      <c r="Z16" s="4">
        <f t="shared" si="2"/>
        <v>201</v>
      </c>
      <c r="AB16" s="2" t="s">
        <v>114</v>
      </c>
      <c r="AC16" s="3" t="s">
        <v>115</v>
      </c>
      <c r="AD16" s="3">
        <v>81</v>
      </c>
      <c r="AE16" s="3">
        <v>70</v>
      </c>
      <c r="AF16" s="3">
        <v>39</v>
      </c>
      <c r="AG16" s="3">
        <v>48</v>
      </c>
      <c r="AH16" s="3">
        <v>42</v>
      </c>
      <c r="AI16" s="4">
        <f t="shared" si="3"/>
        <v>280</v>
      </c>
      <c r="AJ16" s="2" t="s">
        <v>156</v>
      </c>
      <c r="AK16" s="3" t="s">
        <v>157</v>
      </c>
      <c r="AL16" s="3">
        <v>45</v>
      </c>
      <c r="AM16" s="44">
        <v>70</v>
      </c>
      <c r="AN16" s="48">
        <v>22</v>
      </c>
      <c r="AO16" s="39">
        <v>18</v>
      </c>
      <c r="AP16" s="3">
        <v>58</v>
      </c>
      <c r="AQ16" s="4">
        <f t="shared" si="4"/>
        <v>213</v>
      </c>
      <c r="AR16" s="2" t="s">
        <v>108</v>
      </c>
      <c r="AS16" s="3" t="s">
        <v>109</v>
      </c>
      <c r="AT16" s="3">
        <v>30</v>
      </c>
      <c r="AU16" s="3">
        <v>16</v>
      </c>
      <c r="AV16" s="49">
        <v>22</v>
      </c>
      <c r="AW16" s="3">
        <v>2</v>
      </c>
      <c r="AX16" s="3">
        <v>85</v>
      </c>
      <c r="AY16" s="4">
        <f t="shared" si="5"/>
        <v>155</v>
      </c>
      <c r="AZ16" s="2" t="s">
        <v>156</v>
      </c>
      <c r="BA16" s="3" t="s">
        <v>157</v>
      </c>
      <c r="BB16" s="3">
        <v>45</v>
      </c>
      <c r="BC16" s="44">
        <v>70</v>
      </c>
      <c r="BD16" s="50">
        <v>22</v>
      </c>
      <c r="BE16" s="39">
        <v>18</v>
      </c>
      <c r="BF16" s="3">
        <v>58</v>
      </c>
      <c r="BG16" s="4">
        <f t="shared" si="6"/>
        <v>213</v>
      </c>
    </row>
    <row r="17" spans="1:59" ht="15" customHeight="1" x14ac:dyDescent="0.2">
      <c r="A17" s="5" t="s">
        <v>116</v>
      </c>
      <c r="B17" s="6" t="s">
        <v>117</v>
      </c>
      <c r="C17" s="6">
        <v>6</v>
      </c>
      <c r="D17" s="6">
        <v>11</v>
      </c>
      <c r="E17" s="6">
        <v>52</v>
      </c>
      <c r="F17" s="44">
        <v>70</v>
      </c>
      <c r="G17" s="39">
        <v>49</v>
      </c>
      <c r="H17" s="4">
        <f t="shared" si="0"/>
        <v>188</v>
      </c>
      <c r="J17" s="5" t="s">
        <v>118</v>
      </c>
      <c r="K17" s="6" t="s">
        <v>119</v>
      </c>
      <c r="L17" s="6">
        <v>39</v>
      </c>
      <c r="M17" s="6">
        <v>27</v>
      </c>
      <c r="N17" s="6">
        <v>83</v>
      </c>
      <c r="O17" s="6">
        <v>70</v>
      </c>
      <c r="P17" s="6">
        <v>17</v>
      </c>
      <c r="Q17" s="4">
        <f t="shared" si="1"/>
        <v>236</v>
      </c>
      <c r="S17" s="5" t="s">
        <v>120</v>
      </c>
      <c r="T17" s="6" t="s">
        <v>121</v>
      </c>
      <c r="U17" s="6">
        <v>35</v>
      </c>
      <c r="V17" s="6">
        <v>53</v>
      </c>
      <c r="W17" s="6">
        <v>73</v>
      </c>
      <c r="X17" s="6">
        <v>16</v>
      </c>
      <c r="Y17" s="6">
        <v>32</v>
      </c>
      <c r="Z17" s="4">
        <f t="shared" si="2"/>
        <v>209</v>
      </c>
      <c r="AB17" s="5" t="s">
        <v>122</v>
      </c>
      <c r="AC17" s="6" t="s">
        <v>123</v>
      </c>
      <c r="AD17" s="6">
        <v>38</v>
      </c>
      <c r="AE17" s="6">
        <v>68</v>
      </c>
      <c r="AF17" s="6">
        <v>56</v>
      </c>
      <c r="AG17" s="6">
        <v>62</v>
      </c>
      <c r="AH17" s="6">
        <v>65</v>
      </c>
      <c r="AI17" s="4">
        <f t="shared" si="3"/>
        <v>289</v>
      </c>
      <c r="AJ17" s="5" t="s">
        <v>164</v>
      </c>
      <c r="AK17" s="6" t="s">
        <v>165</v>
      </c>
      <c r="AL17" s="46">
        <v>81</v>
      </c>
      <c r="AM17" s="6">
        <v>31</v>
      </c>
      <c r="AN17" s="6">
        <v>64</v>
      </c>
      <c r="AO17" s="6">
        <v>86</v>
      </c>
      <c r="AP17" s="6">
        <v>62</v>
      </c>
      <c r="AQ17" s="4">
        <f t="shared" si="4"/>
        <v>324</v>
      </c>
      <c r="AR17" s="5" t="s">
        <v>116</v>
      </c>
      <c r="AS17" s="6" t="s">
        <v>117</v>
      </c>
      <c r="AT17" s="6">
        <v>6</v>
      </c>
      <c r="AU17" s="6">
        <v>11</v>
      </c>
      <c r="AV17" s="6">
        <v>52</v>
      </c>
      <c r="AW17" s="44">
        <v>70</v>
      </c>
      <c r="AX17" s="39">
        <v>49</v>
      </c>
      <c r="AY17" s="4">
        <f t="shared" si="5"/>
        <v>188</v>
      </c>
      <c r="AZ17" s="5" t="s">
        <v>164</v>
      </c>
      <c r="BA17" s="6" t="s">
        <v>165</v>
      </c>
      <c r="BB17" s="46">
        <v>81</v>
      </c>
      <c r="BC17" s="6">
        <v>31</v>
      </c>
      <c r="BD17" s="6">
        <v>64</v>
      </c>
      <c r="BE17" s="6">
        <v>86</v>
      </c>
      <c r="BF17" s="6">
        <v>62</v>
      </c>
      <c r="BG17" s="4">
        <f t="shared" si="6"/>
        <v>324</v>
      </c>
    </row>
    <row r="18" spans="1:59" ht="15" customHeight="1" x14ac:dyDescent="0.2">
      <c r="A18" s="2" t="s">
        <v>124</v>
      </c>
      <c r="B18" s="3" t="s">
        <v>125</v>
      </c>
      <c r="C18" s="3">
        <v>38</v>
      </c>
      <c r="D18" s="3">
        <v>17</v>
      </c>
      <c r="E18" s="3">
        <v>3</v>
      </c>
      <c r="F18" s="3">
        <v>74</v>
      </c>
      <c r="G18" s="3">
        <v>39</v>
      </c>
      <c r="H18" s="4">
        <f t="shared" si="0"/>
        <v>171</v>
      </c>
      <c r="J18" s="2" t="s">
        <v>126</v>
      </c>
      <c r="K18" s="3" t="s">
        <v>127</v>
      </c>
      <c r="L18" s="3">
        <v>87</v>
      </c>
      <c r="M18" s="3">
        <v>4</v>
      </c>
      <c r="N18" s="3">
        <v>79</v>
      </c>
      <c r="O18" s="3">
        <v>27</v>
      </c>
      <c r="P18" s="3">
        <v>74</v>
      </c>
      <c r="Q18" s="4">
        <f t="shared" si="1"/>
        <v>271</v>
      </c>
      <c r="S18" s="2" t="s">
        <v>128</v>
      </c>
      <c r="T18" s="3" t="s">
        <v>129</v>
      </c>
      <c r="U18" s="3">
        <v>82</v>
      </c>
      <c r="V18" s="3">
        <v>79</v>
      </c>
      <c r="W18" s="3">
        <v>69</v>
      </c>
      <c r="X18" s="3">
        <v>89</v>
      </c>
      <c r="Y18" s="3">
        <v>61</v>
      </c>
      <c r="Z18" s="4">
        <f t="shared" si="2"/>
        <v>380</v>
      </c>
      <c r="AB18" s="2" t="s">
        <v>130</v>
      </c>
      <c r="AC18" s="3" t="s">
        <v>131</v>
      </c>
      <c r="AD18" s="3">
        <v>25</v>
      </c>
      <c r="AE18" s="3">
        <v>76</v>
      </c>
      <c r="AF18" s="3">
        <v>73</v>
      </c>
      <c r="AG18" s="3">
        <v>74</v>
      </c>
      <c r="AH18" s="3">
        <v>61</v>
      </c>
      <c r="AI18" s="4">
        <f t="shared" si="3"/>
        <v>309</v>
      </c>
      <c r="AJ18" s="2" t="s">
        <v>172</v>
      </c>
      <c r="AK18" s="3" t="s">
        <v>173</v>
      </c>
      <c r="AL18" s="3">
        <v>58</v>
      </c>
      <c r="AM18" s="39">
        <v>59</v>
      </c>
      <c r="AN18" s="46">
        <v>81</v>
      </c>
      <c r="AO18" s="3">
        <v>3</v>
      </c>
      <c r="AP18" s="3">
        <v>76</v>
      </c>
      <c r="AQ18" s="4">
        <f t="shared" si="4"/>
        <v>277</v>
      </c>
      <c r="AR18" s="2" t="s">
        <v>124</v>
      </c>
      <c r="AS18" s="3" t="s">
        <v>125</v>
      </c>
      <c r="AT18" s="3">
        <v>38</v>
      </c>
      <c r="AU18" s="3">
        <v>17</v>
      </c>
      <c r="AV18" s="49">
        <v>3</v>
      </c>
      <c r="AW18" s="3">
        <v>74</v>
      </c>
      <c r="AX18" s="3">
        <v>39</v>
      </c>
      <c r="AY18" s="4">
        <f t="shared" si="5"/>
        <v>171</v>
      </c>
      <c r="AZ18" s="2" t="s">
        <v>172</v>
      </c>
      <c r="BA18" s="3" t="s">
        <v>173</v>
      </c>
      <c r="BB18" s="3">
        <v>58</v>
      </c>
      <c r="BC18" s="39">
        <v>59</v>
      </c>
      <c r="BD18" s="46">
        <v>81</v>
      </c>
      <c r="BE18" s="49">
        <v>3</v>
      </c>
      <c r="BF18" s="3">
        <v>76</v>
      </c>
      <c r="BG18" s="4">
        <f t="shared" si="6"/>
        <v>277</v>
      </c>
    </row>
    <row r="19" spans="1:59" ht="15" customHeight="1" x14ac:dyDescent="0.2">
      <c r="A19" s="5" t="s">
        <v>132</v>
      </c>
      <c r="B19" s="6" t="s">
        <v>133</v>
      </c>
      <c r="C19" s="6">
        <v>27</v>
      </c>
      <c r="D19" s="6">
        <v>48</v>
      </c>
      <c r="E19" s="42">
        <v>14</v>
      </c>
      <c r="F19" s="6">
        <v>38</v>
      </c>
      <c r="G19" s="39">
        <v>81</v>
      </c>
      <c r="H19" s="4">
        <f t="shared" si="0"/>
        <v>208</v>
      </c>
      <c r="J19" s="5" t="s">
        <v>134</v>
      </c>
      <c r="K19" s="6" t="s">
        <v>135</v>
      </c>
      <c r="L19" s="6">
        <v>41</v>
      </c>
      <c r="M19" s="6">
        <v>6</v>
      </c>
      <c r="N19" s="6">
        <v>36</v>
      </c>
      <c r="O19" s="6">
        <v>19</v>
      </c>
      <c r="P19" s="6">
        <v>47</v>
      </c>
      <c r="Q19" s="4">
        <f t="shared" si="1"/>
        <v>149</v>
      </c>
      <c r="S19" s="5" t="s">
        <v>136</v>
      </c>
      <c r="T19" s="6" t="s">
        <v>137</v>
      </c>
      <c r="U19" s="6">
        <v>87</v>
      </c>
      <c r="V19" s="6">
        <v>21</v>
      </c>
      <c r="W19" s="6">
        <v>12</v>
      </c>
      <c r="X19" s="6">
        <v>3</v>
      </c>
      <c r="Y19" s="6">
        <v>44</v>
      </c>
      <c r="Z19" s="4">
        <f t="shared" si="2"/>
        <v>167</v>
      </c>
      <c r="AB19" s="5" t="s">
        <v>138</v>
      </c>
      <c r="AC19" s="6" t="s">
        <v>139</v>
      </c>
      <c r="AD19" s="6">
        <v>86</v>
      </c>
      <c r="AE19" s="6">
        <v>39</v>
      </c>
      <c r="AF19" s="6">
        <v>79</v>
      </c>
      <c r="AG19" s="6">
        <v>29</v>
      </c>
      <c r="AH19" s="6">
        <v>77</v>
      </c>
      <c r="AI19" s="4">
        <f t="shared" si="3"/>
        <v>310</v>
      </c>
      <c r="AJ19" s="5" t="s">
        <v>180</v>
      </c>
      <c r="AK19" s="6" t="s">
        <v>181</v>
      </c>
      <c r="AL19" s="6">
        <v>82</v>
      </c>
      <c r="AM19" s="6">
        <v>5</v>
      </c>
      <c r="AN19" s="6">
        <v>44</v>
      </c>
      <c r="AO19" s="42">
        <v>74</v>
      </c>
      <c r="AP19" s="6">
        <v>30</v>
      </c>
      <c r="AQ19" s="4">
        <f t="shared" si="4"/>
        <v>235</v>
      </c>
      <c r="AR19" s="5" t="s">
        <v>132</v>
      </c>
      <c r="AS19" s="6" t="s">
        <v>133</v>
      </c>
      <c r="AT19" s="6">
        <v>27</v>
      </c>
      <c r="AU19" s="6">
        <v>48</v>
      </c>
      <c r="AV19" s="42">
        <v>14</v>
      </c>
      <c r="AW19" s="6">
        <v>38</v>
      </c>
      <c r="AX19" s="39">
        <v>81</v>
      </c>
      <c r="AY19" s="4">
        <f t="shared" si="5"/>
        <v>208</v>
      </c>
      <c r="AZ19" s="5" t="s">
        <v>180</v>
      </c>
      <c r="BA19" s="6" t="s">
        <v>181</v>
      </c>
      <c r="BB19" s="6">
        <v>82</v>
      </c>
      <c r="BC19" s="6">
        <v>5</v>
      </c>
      <c r="BD19" s="6">
        <v>44</v>
      </c>
      <c r="BE19" s="42">
        <v>74</v>
      </c>
      <c r="BF19" s="6">
        <v>30</v>
      </c>
      <c r="BG19" s="4">
        <f t="shared" si="6"/>
        <v>235</v>
      </c>
    </row>
    <row r="20" spans="1:59" ht="15" customHeight="1" x14ac:dyDescent="0.2">
      <c r="A20" s="2" t="s">
        <v>140</v>
      </c>
      <c r="B20" s="3" t="s">
        <v>141</v>
      </c>
      <c r="C20" s="3">
        <v>50</v>
      </c>
      <c r="D20" s="3">
        <v>55</v>
      </c>
      <c r="E20" s="3">
        <v>43</v>
      </c>
      <c r="F20" s="3">
        <v>16</v>
      </c>
      <c r="G20" s="3">
        <v>52</v>
      </c>
      <c r="H20" s="4">
        <f t="shared" si="0"/>
        <v>216</v>
      </c>
      <c r="J20" s="2" t="s">
        <v>142</v>
      </c>
      <c r="K20" s="3" t="s">
        <v>143</v>
      </c>
      <c r="L20" s="3">
        <v>32</v>
      </c>
      <c r="M20" s="3">
        <v>58</v>
      </c>
      <c r="N20" s="3">
        <v>89</v>
      </c>
      <c r="O20" s="3">
        <v>60</v>
      </c>
      <c r="P20" s="3">
        <v>86</v>
      </c>
      <c r="Q20" s="4">
        <f t="shared" si="1"/>
        <v>325</v>
      </c>
      <c r="S20" s="2" t="s">
        <v>144</v>
      </c>
      <c r="T20" s="3" t="s">
        <v>145</v>
      </c>
      <c r="U20" s="3">
        <v>71</v>
      </c>
      <c r="V20" s="3">
        <v>86</v>
      </c>
      <c r="W20" s="3">
        <v>72</v>
      </c>
      <c r="X20" s="3">
        <v>26</v>
      </c>
      <c r="Y20" s="3">
        <v>43</v>
      </c>
      <c r="Z20" s="4">
        <f t="shared" si="2"/>
        <v>298</v>
      </c>
      <c r="AB20" s="2" t="s">
        <v>146</v>
      </c>
      <c r="AC20" s="3" t="s">
        <v>147</v>
      </c>
      <c r="AD20" s="3">
        <v>57</v>
      </c>
      <c r="AE20" s="3">
        <v>83</v>
      </c>
      <c r="AF20" s="3">
        <v>84</v>
      </c>
      <c r="AG20" s="3">
        <v>15</v>
      </c>
      <c r="AH20" s="3">
        <v>10</v>
      </c>
      <c r="AI20" s="4">
        <f t="shared" si="3"/>
        <v>249</v>
      </c>
      <c r="AJ20" s="2" t="s">
        <v>188</v>
      </c>
      <c r="AK20" s="3" t="s">
        <v>189</v>
      </c>
      <c r="AL20" s="40">
        <v>36</v>
      </c>
      <c r="AM20" s="3">
        <v>21</v>
      </c>
      <c r="AN20" s="3">
        <v>58</v>
      </c>
      <c r="AO20" s="3">
        <v>32</v>
      </c>
      <c r="AP20" s="3">
        <v>54</v>
      </c>
      <c r="AQ20" s="4">
        <f t="shared" si="4"/>
        <v>201</v>
      </c>
      <c r="AR20" s="2" t="s">
        <v>140</v>
      </c>
      <c r="AS20" s="3" t="s">
        <v>141</v>
      </c>
      <c r="AT20" s="3">
        <v>50</v>
      </c>
      <c r="AU20" s="3">
        <v>55</v>
      </c>
      <c r="AV20" s="3">
        <v>43</v>
      </c>
      <c r="AW20" s="3">
        <v>16</v>
      </c>
      <c r="AX20" s="3">
        <v>52</v>
      </c>
      <c r="AY20" s="4">
        <f t="shared" si="5"/>
        <v>216</v>
      </c>
      <c r="AZ20" s="2" t="s">
        <v>188</v>
      </c>
      <c r="BA20" s="3" t="s">
        <v>189</v>
      </c>
      <c r="BB20" s="40">
        <v>36</v>
      </c>
      <c r="BC20" s="3">
        <v>21</v>
      </c>
      <c r="BD20" s="3">
        <v>58</v>
      </c>
      <c r="BE20" s="3">
        <v>32</v>
      </c>
      <c r="BF20" s="3">
        <v>54</v>
      </c>
      <c r="BG20" s="4">
        <f t="shared" si="6"/>
        <v>201</v>
      </c>
    </row>
    <row r="21" spans="1:59" ht="15" customHeight="1" x14ac:dyDescent="0.2">
      <c r="A21" s="5" t="s">
        <v>148</v>
      </c>
      <c r="B21" s="6" t="s">
        <v>149</v>
      </c>
      <c r="C21" s="48">
        <v>22</v>
      </c>
      <c r="D21" s="6">
        <v>39</v>
      </c>
      <c r="E21" s="6">
        <v>44</v>
      </c>
      <c r="F21" s="6">
        <v>47</v>
      </c>
      <c r="G21" s="6">
        <v>15</v>
      </c>
      <c r="H21" s="4">
        <f t="shared" si="0"/>
        <v>167</v>
      </c>
      <c r="J21" s="5" t="s">
        <v>150</v>
      </c>
      <c r="K21" s="6" t="s">
        <v>151</v>
      </c>
      <c r="L21" s="6">
        <v>24</v>
      </c>
      <c r="M21" s="6">
        <v>80</v>
      </c>
      <c r="N21" s="6">
        <v>73</v>
      </c>
      <c r="O21" s="6">
        <v>43</v>
      </c>
      <c r="P21" s="6">
        <v>22</v>
      </c>
      <c r="Q21" s="4">
        <f>SUM(L21:P21)</f>
        <v>242</v>
      </c>
      <c r="S21" s="5" t="s">
        <v>152</v>
      </c>
      <c r="T21" s="6" t="s">
        <v>153</v>
      </c>
      <c r="U21" s="6">
        <v>39</v>
      </c>
      <c r="V21" s="6">
        <v>8</v>
      </c>
      <c r="W21" s="6">
        <v>79</v>
      </c>
      <c r="X21" s="6">
        <v>22</v>
      </c>
      <c r="Y21" s="6">
        <v>56</v>
      </c>
      <c r="Z21" s="4">
        <f t="shared" si="2"/>
        <v>204</v>
      </c>
      <c r="AB21" s="5" t="s">
        <v>154</v>
      </c>
      <c r="AC21" s="6" t="s">
        <v>155</v>
      </c>
      <c r="AD21" s="6">
        <v>50</v>
      </c>
      <c r="AE21" s="6">
        <v>37</v>
      </c>
      <c r="AF21" s="6">
        <v>27</v>
      </c>
      <c r="AG21" s="6">
        <v>51</v>
      </c>
      <c r="AH21" s="6">
        <v>6</v>
      </c>
      <c r="AI21" s="4">
        <f t="shared" si="3"/>
        <v>171</v>
      </c>
      <c r="AJ21" s="5" t="s">
        <v>196</v>
      </c>
      <c r="AK21" s="6" t="s">
        <v>197</v>
      </c>
      <c r="AL21" s="48">
        <v>66</v>
      </c>
      <c r="AM21" s="6">
        <v>2</v>
      </c>
      <c r="AN21" s="6">
        <v>47</v>
      </c>
      <c r="AO21" s="6">
        <v>48</v>
      </c>
      <c r="AP21" s="39">
        <v>37</v>
      </c>
      <c r="AQ21" s="4">
        <f>SUM(AL21:AP21)</f>
        <v>200</v>
      </c>
      <c r="AR21" s="5" t="s">
        <v>148</v>
      </c>
      <c r="AS21" s="6" t="s">
        <v>149</v>
      </c>
      <c r="AT21" s="48">
        <v>22</v>
      </c>
      <c r="AU21" s="6">
        <v>39</v>
      </c>
      <c r="AV21" s="6">
        <v>44</v>
      </c>
      <c r="AW21" s="49">
        <v>47</v>
      </c>
      <c r="AX21" s="6">
        <v>15</v>
      </c>
      <c r="AY21" s="4">
        <f t="shared" si="5"/>
        <v>167</v>
      </c>
      <c r="AZ21" s="5" t="s">
        <v>196</v>
      </c>
      <c r="BA21" s="6" t="s">
        <v>197</v>
      </c>
      <c r="BB21" s="48">
        <v>66</v>
      </c>
      <c r="BC21" s="6">
        <v>2</v>
      </c>
      <c r="BD21" s="49">
        <v>47</v>
      </c>
      <c r="BE21" s="6">
        <v>48</v>
      </c>
      <c r="BF21" s="39">
        <v>37</v>
      </c>
      <c r="BG21" s="4">
        <f>SUM(BB21:BF21)</f>
        <v>200</v>
      </c>
    </row>
    <row r="22" spans="1:59" ht="15" customHeight="1" x14ac:dyDescent="0.2">
      <c r="A22" s="2" t="s">
        <v>156</v>
      </c>
      <c r="B22" s="3" t="s">
        <v>157</v>
      </c>
      <c r="C22" s="3">
        <v>45</v>
      </c>
      <c r="D22" s="44">
        <v>70</v>
      </c>
      <c r="E22" s="48">
        <v>22</v>
      </c>
      <c r="F22" s="39">
        <v>18</v>
      </c>
      <c r="G22" s="3">
        <v>58</v>
      </c>
      <c r="H22" s="4">
        <f t="shared" si="0"/>
        <v>213</v>
      </c>
      <c r="J22" s="2" t="s">
        <v>158</v>
      </c>
      <c r="K22" s="3" t="s">
        <v>159</v>
      </c>
      <c r="L22" s="3">
        <v>12</v>
      </c>
      <c r="M22" s="3">
        <v>16</v>
      </c>
      <c r="N22" s="3">
        <v>31</v>
      </c>
      <c r="O22" s="3">
        <v>87</v>
      </c>
      <c r="P22" s="3">
        <v>44</v>
      </c>
      <c r="Q22" s="4">
        <f>SUM(L22:P22)</f>
        <v>190</v>
      </c>
      <c r="S22" s="2" t="s">
        <v>160</v>
      </c>
      <c r="T22" s="3" t="s">
        <v>161</v>
      </c>
      <c r="U22" s="3">
        <v>60</v>
      </c>
      <c r="V22" s="3">
        <v>12</v>
      </c>
      <c r="W22" s="3">
        <v>30</v>
      </c>
      <c r="X22" s="3">
        <v>37</v>
      </c>
      <c r="Y22" s="3">
        <v>74</v>
      </c>
      <c r="Z22" s="4">
        <f t="shared" si="2"/>
        <v>213</v>
      </c>
      <c r="AB22" s="2" t="s">
        <v>162</v>
      </c>
      <c r="AC22" s="3" t="s">
        <v>163</v>
      </c>
      <c r="AD22" s="3">
        <v>6</v>
      </c>
      <c r="AE22" s="3">
        <v>25</v>
      </c>
      <c r="AF22" s="3">
        <v>89</v>
      </c>
      <c r="AG22" s="3">
        <v>90</v>
      </c>
      <c r="AH22" s="3">
        <v>32</v>
      </c>
      <c r="AI22" s="4">
        <f t="shared" si="3"/>
        <v>242</v>
      </c>
      <c r="AJ22" s="2" t="s">
        <v>204</v>
      </c>
      <c r="AK22" s="3" t="s">
        <v>205</v>
      </c>
      <c r="AL22" s="48">
        <v>88</v>
      </c>
      <c r="AM22" s="3">
        <v>33</v>
      </c>
      <c r="AN22" s="48">
        <v>22</v>
      </c>
      <c r="AO22" s="3">
        <v>53</v>
      </c>
      <c r="AP22" s="3">
        <v>47</v>
      </c>
      <c r="AQ22" s="4">
        <f>SUM(AL22:AP22)</f>
        <v>243</v>
      </c>
      <c r="AR22" s="2" t="s">
        <v>156</v>
      </c>
      <c r="AS22" s="3" t="s">
        <v>157</v>
      </c>
      <c r="AT22" s="3">
        <v>45</v>
      </c>
      <c r="AU22" s="44">
        <v>70</v>
      </c>
      <c r="AV22" s="50">
        <v>22</v>
      </c>
      <c r="AW22" s="39">
        <v>18</v>
      </c>
      <c r="AX22" s="3">
        <v>58</v>
      </c>
      <c r="AY22" s="4">
        <f t="shared" si="5"/>
        <v>213</v>
      </c>
      <c r="AZ22" s="2" t="s">
        <v>204</v>
      </c>
      <c r="BA22" s="3" t="s">
        <v>205</v>
      </c>
      <c r="BB22" s="48">
        <v>88</v>
      </c>
      <c r="BC22" s="3">
        <v>33</v>
      </c>
      <c r="BD22" s="50">
        <v>22</v>
      </c>
      <c r="BE22" s="3">
        <v>53</v>
      </c>
      <c r="BF22" s="3">
        <v>47</v>
      </c>
      <c r="BG22" s="4">
        <f>SUM(BB22:BF22)</f>
        <v>243</v>
      </c>
    </row>
    <row r="23" spans="1:59" ht="15" customHeight="1" x14ac:dyDescent="0.2">
      <c r="A23" s="5" t="s">
        <v>164</v>
      </c>
      <c r="B23" s="6" t="s">
        <v>165</v>
      </c>
      <c r="C23" s="46">
        <v>81</v>
      </c>
      <c r="D23" s="6">
        <v>31</v>
      </c>
      <c r="E23" s="6">
        <v>64</v>
      </c>
      <c r="F23" s="6">
        <v>86</v>
      </c>
      <c r="G23" s="6">
        <v>62</v>
      </c>
      <c r="H23" s="4">
        <f t="shared" si="0"/>
        <v>324</v>
      </c>
      <c r="J23" s="5" t="s">
        <v>166</v>
      </c>
      <c r="K23" s="6" t="s">
        <v>167</v>
      </c>
      <c r="L23" s="6">
        <v>83</v>
      </c>
      <c r="M23" s="6">
        <v>22</v>
      </c>
      <c r="N23" s="6">
        <v>56</v>
      </c>
      <c r="O23" s="6">
        <v>89</v>
      </c>
      <c r="P23" s="6">
        <v>15</v>
      </c>
      <c r="Q23" s="4">
        <f>SUM(L23:P23)</f>
        <v>265</v>
      </c>
      <c r="S23" s="5" t="s">
        <v>168</v>
      </c>
      <c r="T23" s="6" t="s">
        <v>169</v>
      </c>
      <c r="U23" s="6">
        <v>18</v>
      </c>
      <c r="V23" s="6">
        <v>51</v>
      </c>
      <c r="W23" s="6">
        <v>61</v>
      </c>
      <c r="X23" s="6">
        <v>15</v>
      </c>
      <c r="Y23" s="6">
        <v>70</v>
      </c>
      <c r="Z23" s="4">
        <f t="shared" si="2"/>
        <v>215</v>
      </c>
      <c r="AB23" s="5" t="s">
        <v>170</v>
      </c>
      <c r="AC23" s="6" t="s">
        <v>171</v>
      </c>
      <c r="AD23" s="6">
        <v>23</v>
      </c>
      <c r="AE23" s="6">
        <v>88</v>
      </c>
      <c r="AF23" s="6">
        <v>9</v>
      </c>
      <c r="AG23" s="6">
        <v>39</v>
      </c>
      <c r="AH23" s="6">
        <v>46</v>
      </c>
      <c r="AI23" s="4">
        <f t="shared" si="3"/>
        <v>205</v>
      </c>
      <c r="AJ23" s="2" t="s">
        <v>385</v>
      </c>
      <c r="AK23" s="36">
        <v>46567</v>
      </c>
      <c r="AL23" s="43">
        <v>14</v>
      </c>
      <c r="AM23" s="45">
        <v>70</v>
      </c>
      <c r="AN23" s="47">
        <v>63</v>
      </c>
      <c r="AO23" s="41">
        <v>49</v>
      </c>
      <c r="AP23" s="47">
        <v>37</v>
      </c>
      <c r="AQ23" s="13">
        <f>SUM(AL23:AP23)</f>
        <v>233</v>
      </c>
      <c r="AR23" s="5" t="s">
        <v>164</v>
      </c>
      <c r="AS23" s="6" t="s">
        <v>165</v>
      </c>
      <c r="AT23" s="46">
        <v>81</v>
      </c>
      <c r="AU23" s="6">
        <v>31</v>
      </c>
      <c r="AV23" s="6">
        <v>64</v>
      </c>
      <c r="AW23" s="6">
        <v>86</v>
      </c>
      <c r="AX23" s="6">
        <v>62</v>
      </c>
      <c r="AY23" s="4">
        <f t="shared" si="5"/>
        <v>324</v>
      </c>
      <c r="AZ23" s="2" t="s">
        <v>385</v>
      </c>
      <c r="BA23" s="36">
        <v>46567</v>
      </c>
      <c r="BB23" s="43">
        <v>14</v>
      </c>
      <c r="BC23" s="45">
        <v>70</v>
      </c>
      <c r="BD23" s="47">
        <v>63</v>
      </c>
      <c r="BE23" s="41">
        <v>49</v>
      </c>
      <c r="BF23" s="47">
        <v>37</v>
      </c>
      <c r="BG23" s="13">
        <f>SUM(BB23:BF23)</f>
        <v>233</v>
      </c>
    </row>
    <row r="24" spans="1:59" ht="15" customHeight="1" x14ac:dyDescent="0.2">
      <c r="A24" s="2" t="s">
        <v>172</v>
      </c>
      <c r="B24" s="3" t="s">
        <v>173</v>
      </c>
      <c r="C24" s="3">
        <v>58</v>
      </c>
      <c r="D24" s="39">
        <v>59</v>
      </c>
      <c r="E24" s="46">
        <v>81</v>
      </c>
      <c r="F24" s="3">
        <v>3</v>
      </c>
      <c r="G24" s="3">
        <v>76</v>
      </c>
      <c r="H24" s="4">
        <f t="shared" si="0"/>
        <v>277</v>
      </c>
      <c r="J24" s="2" t="s">
        <v>174</v>
      </c>
      <c r="K24" s="3" t="s">
        <v>175</v>
      </c>
      <c r="L24" s="3">
        <v>42</v>
      </c>
      <c r="M24" s="3">
        <v>36</v>
      </c>
      <c r="N24" s="3">
        <v>51</v>
      </c>
      <c r="O24" s="3">
        <v>49</v>
      </c>
      <c r="P24" s="3">
        <v>28</v>
      </c>
      <c r="Q24" s="4">
        <f t="shared" si="1"/>
        <v>206</v>
      </c>
      <c r="S24" s="2" t="s">
        <v>176</v>
      </c>
      <c r="T24" s="3" t="s">
        <v>177</v>
      </c>
      <c r="U24" s="3">
        <v>45</v>
      </c>
      <c r="V24" s="3">
        <v>67</v>
      </c>
      <c r="W24" s="3">
        <v>34</v>
      </c>
      <c r="X24" s="3">
        <v>56</v>
      </c>
      <c r="Y24" s="3">
        <v>50</v>
      </c>
      <c r="Z24" s="4">
        <f t="shared" si="2"/>
        <v>252</v>
      </c>
      <c r="AB24" s="2" t="s">
        <v>178</v>
      </c>
      <c r="AC24" s="3" t="s">
        <v>179</v>
      </c>
      <c r="AD24" s="3">
        <v>34</v>
      </c>
      <c r="AE24" s="3">
        <v>47</v>
      </c>
      <c r="AF24" s="3">
        <v>80</v>
      </c>
      <c r="AG24" s="3">
        <v>60</v>
      </c>
      <c r="AH24" s="3">
        <v>76</v>
      </c>
      <c r="AI24" s="4">
        <f t="shared" si="3"/>
        <v>297</v>
      </c>
      <c r="AR24" s="2" t="s">
        <v>172</v>
      </c>
      <c r="AS24" s="3" t="s">
        <v>173</v>
      </c>
      <c r="AT24" s="3">
        <v>58</v>
      </c>
      <c r="AU24" s="39">
        <v>59</v>
      </c>
      <c r="AV24" s="46">
        <v>81</v>
      </c>
      <c r="AW24" s="3">
        <v>3</v>
      </c>
      <c r="AX24" s="3">
        <v>76</v>
      </c>
      <c r="AY24" s="4">
        <f t="shared" si="5"/>
        <v>277</v>
      </c>
    </row>
    <row r="25" spans="1:59" ht="15" customHeight="1" x14ac:dyDescent="0.2">
      <c r="A25" s="5" t="s">
        <v>180</v>
      </c>
      <c r="B25" s="6" t="s">
        <v>181</v>
      </c>
      <c r="C25" s="6">
        <v>82</v>
      </c>
      <c r="D25" s="6">
        <v>5</v>
      </c>
      <c r="E25" s="6">
        <v>44</v>
      </c>
      <c r="F25" s="42">
        <v>74</v>
      </c>
      <c r="G25" s="6">
        <v>30</v>
      </c>
      <c r="H25" s="4">
        <f t="shared" si="0"/>
        <v>235</v>
      </c>
      <c r="J25" s="5" t="s">
        <v>182</v>
      </c>
      <c r="K25" s="6" t="s">
        <v>183</v>
      </c>
      <c r="L25" s="6">
        <v>3</v>
      </c>
      <c r="M25" s="6">
        <v>46</v>
      </c>
      <c r="N25" s="6">
        <v>81</v>
      </c>
      <c r="O25" s="6">
        <v>63</v>
      </c>
      <c r="P25" s="6">
        <v>48</v>
      </c>
      <c r="Q25" s="4">
        <f t="shared" si="1"/>
        <v>241</v>
      </c>
      <c r="S25" s="5" t="s">
        <v>184</v>
      </c>
      <c r="T25" s="6" t="s">
        <v>185</v>
      </c>
      <c r="U25" s="6">
        <v>55</v>
      </c>
      <c r="V25" s="6">
        <v>84</v>
      </c>
      <c r="W25" s="6">
        <v>54</v>
      </c>
      <c r="X25" s="6">
        <v>5</v>
      </c>
      <c r="Y25" s="6">
        <v>59</v>
      </c>
      <c r="Z25" s="4">
        <f t="shared" si="2"/>
        <v>257</v>
      </c>
      <c r="AB25" s="5" t="s">
        <v>186</v>
      </c>
      <c r="AC25" s="6" t="s">
        <v>187</v>
      </c>
      <c r="AD25" s="6">
        <v>49</v>
      </c>
      <c r="AE25" s="6">
        <v>87</v>
      </c>
      <c r="AF25" s="6">
        <v>29</v>
      </c>
      <c r="AG25" s="6">
        <v>9</v>
      </c>
      <c r="AH25" s="6">
        <v>27</v>
      </c>
      <c r="AI25" s="4">
        <f t="shared" si="3"/>
        <v>201</v>
      </c>
      <c r="AR25" s="5" t="s">
        <v>180</v>
      </c>
      <c r="AS25" s="6" t="s">
        <v>181</v>
      </c>
      <c r="AT25" s="6">
        <v>82</v>
      </c>
      <c r="AU25" s="6">
        <v>5</v>
      </c>
      <c r="AV25" s="6">
        <v>44</v>
      </c>
      <c r="AW25" s="42">
        <v>74</v>
      </c>
      <c r="AX25" s="6">
        <v>30</v>
      </c>
      <c r="AY25" s="4">
        <f t="shared" si="5"/>
        <v>235</v>
      </c>
    </row>
    <row r="26" spans="1:59" ht="15" customHeight="1" x14ac:dyDescent="0.2">
      <c r="A26" s="2" t="s">
        <v>188</v>
      </c>
      <c r="B26" s="3" t="s">
        <v>189</v>
      </c>
      <c r="C26" s="40">
        <v>36</v>
      </c>
      <c r="D26" s="3">
        <v>21</v>
      </c>
      <c r="E26" s="3">
        <v>58</v>
      </c>
      <c r="F26" s="3">
        <v>32</v>
      </c>
      <c r="G26" s="3">
        <v>54</v>
      </c>
      <c r="H26" s="4">
        <f t="shared" si="0"/>
        <v>201</v>
      </c>
      <c r="J26" s="2" t="s">
        <v>190</v>
      </c>
      <c r="K26" s="3" t="s">
        <v>191</v>
      </c>
      <c r="L26" s="3">
        <v>54</v>
      </c>
      <c r="M26" s="3">
        <v>15</v>
      </c>
      <c r="N26" s="3">
        <v>39</v>
      </c>
      <c r="O26" s="3">
        <v>5</v>
      </c>
      <c r="P26" s="3">
        <v>79</v>
      </c>
      <c r="Q26" s="4">
        <f t="shared" si="1"/>
        <v>192</v>
      </c>
      <c r="S26" s="2" t="s">
        <v>192</v>
      </c>
      <c r="T26" s="3" t="s">
        <v>193</v>
      </c>
      <c r="U26" s="3">
        <v>1</v>
      </c>
      <c r="V26" s="3">
        <v>47</v>
      </c>
      <c r="W26" s="3">
        <v>52</v>
      </c>
      <c r="X26" s="3">
        <v>81</v>
      </c>
      <c r="Y26" s="3">
        <v>42</v>
      </c>
      <c r="Z26" s="4">
        <f t="shared" si="2"/>
        <v>223</v>
      </c>
      <c r="AB26" s="2" t="s">
        <v>194</v>
      </c>
      <c r="AC26" s="3" t="s">
        <v>195</v>
      </c>
      <c r="AD26" s="3">
        <v>67</v>
      </c>
      <c r="AE26" s="3">
        <v>82</v>
      </c>
      <c r="AF26" s="3">
        <v>28</v>
      </c>
      <c r="AG26" s="3">
        <v>74</v>
      </c>
      <c r="AH26" s="3">
        <v>47</v>
      </c>
      <c r="AI26" s="4">
        <f t="shared" si="3"/>
        <v>298</v>
      </c>
      <c r="AR26" s="2" t="s">
        <v>188</v>
      </c>
      <c r="AS26" s="3" t="s">
        <v>189</v>
      </c>
      <c r="AT26" s="40">
        <v>36</v>
      </c>
      <c r="AU26" s="3">
        <v>21</v>
      </c>
      <c r="AV26" s="3">
        <v>58</v>
      </c>
      <c r="AW26" s="3">
        <v>32</v>
      </c>
      <c r="AX26" s="3">
        <v>54</v>
      </c>
      <c r="AY26" s="4">
        <f t="shared" si="5"/>
        <v>201</v>
      </c>
    </row>
    <row r="27" spans="1:59" ht="15" customHeight="1" x14ac:dyDescent="0.2">
      <c r="A27" s="5" t="s">
        <v>196</v>
      </c>
      <c r="B27" s="6" t="s">
        <v>197</v>
      </c>
      <c r="C27" s="48">
        <v>66</v>
      </c>
      <c r="D27" s="6">
        <v>2</v>
      </c>
      <c r="E27" s="6">
        <v>47</v>
      </c>
      <c r="F27" s="6">
        <v>48</v>
      </c>
      <c r="G27" s="39">
        <v>37</v>
      </c>
      <c r="H27" s="4">
        <f t="shared" si="0"/>
        <v>200</v>
      </c>
      <c r="J27" s="5" t="s">
        <v>198</v>
      </c>
      <c r="K27" s="6" t="s">
        <v>199</v>
      </c>
      <c r="L27" s="6">
        <v>45</v>
      </c>
      <c r="M27" s="6">
        <v>5</v>
      </c>
      <c r="N27" s="6">
        <v>79</v>
      </c>
      <c r="O27" s="6">
        <v>41</v>
      </c>
      <c r="P27" s="6">
        <v>77</v>
      </c>
      <c r="Q27" s="4">
        <f t="shared" si="1"/>
        <v>247</v>
      </c>
      <c r="S27" s="5" t="s">
        <v>200</v>
      </c>
      <c r="T27" s="6" t="s">
        <v>201</v>
      </c>
      <c r="U27" s="6">
        <v>67</v>
      </c>
      <c r="V27" s="6">
        <v>7</v>
      </c>
      <c r="W27" s="6">
        <v>89</v>
      </c>
      <c r="X27" s="6">
        <v>57</v>
      </c>
      <c r="Y27" s="6">
        <v>27</v>
      </c>
      <c r="Z27" s="4">
        <f t="shared" si="2"/>
        <v>247</v>
      </c>
      <c r="AB27" s="5" t="s">
        <v>202</v>
      </c>
      <c r="AC27" s="6" t="s">
        <v>203</v>
      </c>
      <c r="AD27" s="6">
        <v>82</v>
      </c>
      <c r="AE27" s="6">
        <v>45</v>
      </c>
      <c r="AF27" s="6">
        <v>14</v>
      </c>
      <c r="AG27" s="6">
        <v>54</v>
      </c>
      <c r="AH27" s="6">
        <v>66</v>
      </c>
      <c r="AI27" s="4">
        <f t="shared" si="3"/>
        <v>261</v>
      </c>
      <c r="AR27" s="5" t="s">
        <v>196</v>
      </c>
      <c r="AS27" s="6" t="s">
        <v>197</v>
      </c>
      <c r="AT27" s="48">
        <v>66</v>
      </c>
      <c r="AU27" s="6">
        <v>2</v>
      </c>
      <c r="AV27" s="6">
        <v>47</v>
      </c>
      <c r="AW27" s="6">
        <v>48</v>
      </c>
      <c r="AX27" s="39">
        <v>37</v>
      </c>
      <c r="AY27" s="4">
        <f t="shared" si="5"/>
        <v>200</v>
      </c>
    </row>
    <row r="28" spans="1:59" ht="15" customHeight="1" x14ac:dyDescent="0.2">
      <c r="A28" s="2" t="s">
        <v>204</v>
      </c>
      <c r="B28" s="3" t="s">
        <v>205</v>
      </c>
      <c r="C28" s="48">
        <v>88</v>
      </c>
      <c r="D28" s="3">
        <v>33</v>
      </c>
      <c r="E28" s="48">
        <v>22</v>
      </c>
      <c r="F28" s="3">
        <v>53</v>
      </c>
      <c r="G28" s="3">
        <v>47</v>
      </c>
      <c r="H28" s="4">
        <f t="shared" si="0"/>
        <v>243</v>
      </c>
      <c r="J28" s="2" t="s">
        <v>206</v>
      </c>
      <c r="K28" s="3" t="s">
        <v>207</v>
      </c>
      <c r="L28" s="3">
        <v>20</v>
      </c>
      <c r="M28" s="3">
        <v>79</v>
      </c>
      <c r="N28" s="3">
        <v>67</v>
      </c>
      <c r="O28" s="3">
        <v>77</v>
      </c>
      <c r="P28" s="3">
        <v>88</v>
      </c>
      <c r="Q28" s="4">
        <f t="shared" si="1"/>
        <v>331</v>
      </c>
      <c r="S28" s="2" t="s">
        <v>208</v>
      </c>
      <c r="T28" s="3" t="s">
        <v>209</v>
      </c>
      <c r="U28" s="3">
        <v>69</v>
      </c>
      <c r="V28" s="3">
        <v>81</v>
      </c>
      <c r="W28" s="3">
        <v>62</v>
      </c>
      <c r="X28" s="3">
        <v>37</v>
      </c>
      <c r="Y28" s="3">
        <v>67</v>
      </c>
      <c r="Z28" s="4">
        <f t="shared" si="2"/>
        <v>316</v>
      </c>
      <c r="AB28" s="2" t="s">
        <v>210</v>
      </c>
      <c r="AC28" s="3" t="s">
        <v>211</v>
      </c>
      <c r="AD28" s="3">
        <v>22</v>
      </c>
      <c r="AE28" s="3">
        <v>40</v>
      </c>
      <c r="AF28" s="3">
        <v>44</v>
      </c>
      <c r="AG28" s="3">
        <v>60</v>
      </c>
      <c r="AH28" s="3">
        <v>11</v>
      </c>
      <c r="AI28" s="4">
        <f t="shared" si="3"/>
        <v>177</v>
      </c>
      <c r="AR28" s="2" t="s">
        <v>204</v>
      </c>
      <c r="AS28" s="3" t="s">
        <v>205</v>
      </c>
      <c r="AT28" s="48">
        <v>88</v>
      </c>
      <c r="AU28" s="3">
        <v>33</v>
      </c>
      <c r="AV28" s="48">
        <v>22</v>
      </c>
      <c r="AW28" s="3">
        <v>53</v>
      </c>
      <c r="AX28" s="3">
        <v>47</v>
      </c>
      <c r="AY28" s="4">
        <f t="shared" si="5"/>
        <v>243</v>
      </c>
    </row>
    <row r="29" spans="1:59" ht="15" customHeight="1" x14ac:dyDescent="0.2">
      <c r="A29" s="2" t="s">
        <v>385</v>
      </c>
      <c r="B29" s="36">
        <v>46567</v>
      </c>
      <c r="C29" s="43">
        <v>14</v>
      </c>
      <c r="D29" s="45">
        <v>70</v>
      </c>
      <c r="E29" s="47">
        <v>63</v>
      </c>
      <c r="F29" s="41">
        <v>49</v>
      </c>
      <c r="G29" s="47">
        <v>37</v>
      </c>
      <c r="H29" s="13">
        <f t="shared" si="0"/>
        <v>233</v>
      </c>
      <c r="J29" s="5" t="s">
        <v>212</v>
      </c>
      <c r="K29" s="6" t="s">
        <v>213</v>
      </c>
      <c r="L29" s="6">
        <v>77</v>
      </c>
      <c r="M29" s="6">
        <v>56</v>
      </c>
      <c r="N29" s="6">
        <v>55</v>
      </c>
      <c r="O29" s="6">
        <v>52</v>
      </c>
      <c r="P29" s="6">
        <v>5</v>
      </c>
      <c r="Q29" s="4">
        <f t="shared" si="1"/>
        <v>245</v>
      </c>
      <c r="S29" s="5" t="s">
        <v>214</v>
      </c>
      <c r="T29" s="6" t="s">
        <v>215</v>
      </c>
      <c r="U29" s="6">
        <v>5</v>
      </c>
      <c r="V29" s="6">
        <v>1</v>
      </c>
      <c r="W29" s="6">
        <v>39</v>
      </c>
      <c r="X29" s="6">
        <v>29</v>
      </c>
      <c r="Y29" s="6">
        <v>13</v>
      </c>
      <c r="Z29" s="4">
        <f t="shared" si="2"/>
        <v>87</v>
      </c>
      <c r="AB29" s="5" t="s">
        <v>216</v>
      </c>
      <c r="AC29" s="6" t="s">
        <v>217</v>
      </c>
      <c r="AD29" s="6">
        <v>85</v>
      </c>
      <c r="AE29" s="6">
        <v>13</v>
      </c>
      <c r="AF29" s="6">
        <v>68</v>
      </c>
      <c r="AG29" s="6">
        <v>74</v>
      </c>
      <c r="AH29" s="6">
        <v>8</v>
      </c>
      <c r="AI29" s="4">
        <f t="shared" si="3"/>
        <v>248</v>
      </c>
      <c r="AR29" s="2" t="s">
        <v>385</v>
      </c>
      <c r="AS29" s="36">
        <v>46567</v>
      </c>
      <c r="AT29" s="43">
        <v>14</v>
      </c>
      <c r="AU29" s="45">
        <v>70</v>
      </c>
      <c r="AV29" s="47">
        <v>63</v>
      </c>
      <c r="AW29" s="41">
        <v>49</v>
      </c>
      <c r="AX29" s="47">
        <v>37</v>
      </c>
      <c r="AY29" s="13">
        <f t="shared" si="5"/>
        <v>233</v>
      </c>
    </row>
    <row r="30" spans="1:59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79</v>
      </c>
      <c r="M30" s="3">
        <v>74</v>
      </c>
      <c r="N30" s="3">
        <v>85</v>
      </c>
      <c r="O30" s="3">
        <v>87</v>
      </c>
      <c r="P30" s="3">
        <v>60</v>
      </c>
      <c r="Q30" s="4">
        <f t="shared" si="1"/>
        <v>385</v>
      </c>
      <c r="S30" s="2" t="s">
        <v>220</v>
      </c>
      <c r="T30" s="3" t="s">
        <v>221</v>
      </c>
      <c r="U30" s="3">
        <v>23</v>
      </c>
      <c r="V30" s="3">
        <v>40</v>
      </c>
      <c r="W30" s="3">
        <v>77</v>
      </c>
      <c r="X30" s="3">
        <v>81</v>
      </c>
      <c r="Y30" s="3">
        <v>75</v>
      </c>
      <c r="Z30" s="4">
        <f t="shared" si="2"/>
        <v>296</v>
      </c>
      <c r="AB30" s="8"/>
      <c r="AC30" s="8"/>
      <c r="AD30" s="8"/>
      <c r="AE30" s="8"/>
      <c r="AF30" s="8"/>
      <c r="AG30" s="8"/>
      <c r="AH30" s="8"/>
      <c r="AI30" s="8"/>
      <c r="AR30" s="2" t="s">
        <v>306</v>
      </c>
      <c r="AS30" s="3" t="s">
        <v>307</v>
      </c>
      <c r="AT30" s="3">
        <v>21</v>
      </c>
      <c r="AU30" s="3">
        <v>26</v>
      </c>
      <c r="AV30" s="3">
        <v>32</v>
      </c>
      <c r="AW30" s="3">
        <v>89</v>
      </c>
      <c r="AX30" s="3">
        <v>61</v>
      </c>
      <c r="AY30" s="4">
        <f t="shared" si="5"/>
        <v>229</v>
      </c>
    </row>
    <row r="31" spans="1:59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13</v>
      </c>
      <c r="M31" s="6">
        <v>75</v>
      </c>
      <c r="N31" s="6">
        <v>59</v>
      </c>
      <c r="O31" s="6">
        <v>58</v>
      </c>
      <c r="P31" s="6">
        <v>28</v>
      </c>
      <c r="Q31" s="4">
        <f t="shared" si="1"/>
        <v>233</v>
      </c>
      <c r="S31" s="5" t="s">
        <v>224</v>
      </c>
      <c r="T31" s="6" t="s">
        <v>225</v>
      </c>
      <c r="U31" s="6">
        <v>82</v>
      </c>
      <c r="V31" s="6">
        <v>46</v>
      </c>
      <c r="W31" s="6">
        <v>83</v>
      </c>
      <c r="X31" s="6">
        <v>7</v>
      </c>
      <c r="Y31" s="6">
        <v>47</v>
      </c>
      <c r="Z31" s="4">
        <f t="shared" si="2"/>
        <v>265</v>
      </c>
      <c r="AB31" s="7"/>
      <c r="AC31" s="7"/>
      <c r="AD31" s="7"/>
      <c r="AE31" s="7"/>
      <c r="AF31" s="7"/>
      <c r="AG31" s="7"/>
      <c r="AH31" s="7"/>
      <c r="AI31" s="7"/>
      <c r="AR31" s="5" t="s">
        <v>310</v>
      </c>
      <c r="AS31" s="6" t="s">
        <v>311</v>
      </c>
      <c r="AT31" s="6">
        <v>15</v>
      </c>
      <c r="AU31" s="6">
        <v>49</v>
      </c>
      <c r="AV31" s="6">
        <v>2</v>
      </c>
      <c r="AW31" s="6">
        <v>88</v>
      </c>
      <c r="AX31" s="6">
        <v>20</v>
      </c>
      <c r="AY31" s="4">
        <f t="shared" si="5"/>
        <v>174</v>
      </c>
      <c r="AZ31" s="5" t="s">
        <v>36</v>
      </c>
      <c r="BA31" s="6" t="s">
        <v>37</v>
      </c>
      <c r="BB31" s="6">
        <v>8</v>
      </c>
      <c r="BC31" s="44">
        <v>9</v>
      </c>
      <c r="BD31" s="6">
        <v>63</v>
      </c>
      <c r="BE31" s="6">
        <v>28</v>
      </c>
      <c r="BF31" s="6">
        <v>22</v>
      </c>
      <c r="BG31" s="4">
        <f t="shared" ref="BG31:BG33" si="7">SUM(BB31:BF31)</f>
        <v>130</v>
      </c>
    </row>
    <row r="32" spans="1:59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64</v>
      </c>
      <c r="M32" s="3">
        <v>82</v>
      </c>
      <c r="N32" s="3">
        <v>77</v>
      </c>
      <c r="O32" s="3">
        <v>26</v>
      </c>
      <c r="P32" s="3">
        <v>29</v>
      </c>
      <c r="Q32" s="4">
        <f t="shared" si="1"/>
        <v>278</v>
      </c>
      <c r="S32" s="2" t="s">
        <v>228</v>
      </c>
      <c r="T32" s="3" t="s">
        <v>229</v>
      </c>
      <c r="U32" s="3">
        <v>89</v>
      </c>
      <c r="V32" s="3">
        <v>33</v>
      </c>
      <c r="W32" s="3">
        <v>31</v>
      </c>
      <c r="X32" s="3">
        <v>88</v>
      </c>
      <c r="Y32" s="3">
        <v>62</v>
      </c>
      <c r="Z32" s="4">
        <f t="shared" si="2"/>
        <v>303</v>
      </c>
      <c r="AB32" s="8"/>
      <c r="AC32" s="8"/>
      <c r="AD32" s="8"/>
      <c r="AE32" s="8"/>
      <c r="AF32" s="8"/>
      <c r="AG32" s="8"/>
      <c r="AH32" s="8"/>
      <c r="AI32" s="8"/>
      <c r="AR32" s="2" t="s">
        <v>314</v>
      </c>
      <c r="AS32" s="3" t="s">
        <v>315</v>
      </c>
      <c r="AT32" s="3">
        <v>14</v>
      </c>
      <c r="AU32" s="3">
        <v>30</v>
      </c>
      <c r="AV32" s="3">
        <v>74</v>
      </c>
      <c r="AW32" s="3">
        <v>90</v>
      </c>
      <c r="AX32" s="3">
        <v>89</v>
      </c>
      <c r="AY32" s="4">
        <f t="shared" si="5"/>
        <v>297</v>
      </c>
      <c r="AZ32" s="2" t="s">
        <v>44</v>
      </c>
      <c r="BA32" s="3" t="s">
        <v>45</v>
      </c>
      <c r="BB32" s="3">
        <v>61</v>
      </c>
      <c r="BC32" s="3">
        <v>50</v>
      </c>
      <c r="BD32" s="44">
        <v>9</v>
      </c>
      <c r="BE32" s="42">
        <v>74</v>
      </c>
      <c r="BF32" s="44">
        <v>52</v>
      </c>
      <c r="BG32" s="4">
        <f t="shared" si="7"/>
        <v>246</v>
      </c>
    </row>
    <row r="33" spans="1:59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22</v>
      </c>
      <c r="M33" s="6">
        <v>35</v>
      </c>
      <c r="N33" s="6">
        <v>30</v>
      </c>
      <c r="O33" s="6">
        <v>47</v>
      </c>
      <c r="P33" s="6">
        <v>39</v>
      </c>
      <c r="Q33" s="4">
        <f t="shared" si="1"/>
        <v>173</v>
      </c>
      <c r="S33" s="5" t="s">
        <v>232</v>
      </c>
      <c r="T33" s="6" t="s">
        <v>233</v>
      </c>
      <c r="U33" s="6">
        <v>6</v>
      </c>
      <c r="V33" s="6">
        <v>82</v>
      </c>
      <c r="W33" s="6">
        <v>27</v>
      </c>
      <c r="X33" s="6">
        <v>3</v>
      </c>
      <c r="Y33" s="6">
        <v>81</v>
      </c>
      <c r="Z33" s="4">
        <f t="shared" si="2"/>
        <v>199</v>
      </c>
      <c r="AB33" s="7"/>
      <c r="AC33" s="7"/>
      <c r="AD33" s="7"/>
      <c r="AE33" s="7"/>
      <c r="AF33" s="7"/>
      <c r="AG33" s="7"/>
      <c r="AH33" s="7"/>
      <c r="AI33" s="7"/>
      <c r="AR33" s="5" t="s">
        <v>318</v>
      </c>
      <c r="AS33" s="6" t="s">
        <v>319</v>
      </c>
      <c r="AT33" s="6">
        <v>74</v>
      </c>
      <c r="AU33" s="6">
        <v>23</v>
      </c>
      <c r="AV33" s="6">
        <v>76</v>
      </c>
      <c r="AW33" s="6">
        <v>18</v>
      </c>
      <c r="AX33" s="6">
        <v>2</v>
      </c>
      <c r="AY33" s="4">
        <f t="shared" si="5"/>
        <v>193</v>
      </c>
      <c r="AZ33" s="5" t="s">
        <v>52</v>
      </c>
      <c r="BA33" s="6" t="s">
        <v>53</v>
      </c>
      <c r="BB33" s="6">
        <v>62</v>
      </c>
      <c r="BC33" s="6">
        <v>16</v>
      </c>
      <c r="BD33" s="6">
        <v>34</v>
      </c>
      <c r="BE33" s="6">
        <v>19</v>
      </c>
      <c r="BF33" s="6">
        <v>55</v>
      </c>
      <c r="BG33" s="4">
        <f t="shared" si="7"/>
        <v>186</v>
      </c>
    </row>
    <row r="34" spans="1:59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77</v>
      </c>
      <c r="M34" s="3">
        <v>22</v>
      </c>
      <c r="N34" s="3">
        <v>67</v>
      </c>
      <c r="O34" s="3">
        <v>75</v>
      </c>
      <c r="P34" s="3">
        <v>19</v>
      </c>
      <c r="Q34" s="4">
        <f t="shared" si="1"/>
        <v>260</v>
      </c>
      <c r="S34" s="2" t="s">
        <v>236</v>
      </c>
      <c r="T34" s="3" t="s">
        <v>237</v>
      </c>
      <c r="U34" s="3">
        <v>2</v>
      </c>
      <c r="V34" s="3">
        <v>32</v>
      </c>
      <c r="W34" s="3">
        <v>24</v>
      </c>
      <c r="X34" s="3">
        <v>14</v>
      </c>
      <c r="Y34" s="3">
        <v>1</v>
      </c>
      <c r="Z34" s="4">
        <f t="shared" si="2"/>
        <v>73</v>
      </c>
      <c r="AB34" s="8"/>
      <c r="AC34" s="8"/>
      <c r="AD34" s="8"/>
      <c r="AE34" s="8"/>
      <c r="AF34" s="8"/>
      <c r="AG34" s="8"/>
      <c r="AH34" s="8"/>
      <c r="AI34" s="8"/>
      <c r="AR34" s="52" t="s">
        <v>12</v>
      </c>
      <c r="AS34" s="51" t="s">
        <v>13</v>
      </c>
      <c r="AT34" s="51">
        <v>46</v>
      </c>
      <c r="AU34" s="51">
        <v>3</v>
      </c>
      <c r="AV34" s="51">
        <v>53</v>
      </c>
      <c r="AW34" s="51">
        <v>80</v>
      </c>
      <c r="AX34" s="51">
        <v>56</v>
      </c>
      <c r="AY34" s="53">
        <f t="shared" ref="AY34:AY59" si="8">SUM(AT34:AX34)</f>
        <v>238</v>
      </c>
      <c r="AZ34" s="52" t="s">
        <v>60</v>
      </c>
      <c r="BA34" s="51" t="s">
        <v>61</v>
      </c>
      <c r="BB34" s="51">
        <v>86</v>
      </c>
      <c r="BC34" s="51">
        <v>40</v>
      </c>
      <c r="BD34" s="51">
        <v>88</v>
      </c>
      <c r="BE34" s="51">
        <v>27</v>
      </c>
      <c r="BF34" s="51">
        <v>74</v>
      </c>
      <c r="BG34" s="53">
        <f t="shared" ref="BG34:BG50" si="9">SUM(BB34:BF34)</f>
        <v>315</v>
      </c>
    </row>
    <row r="35" spans="1:59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43</v>
      </c>
      <c r="M35" s="6">
        <v>60</v>
      </c>
      <c r="N35" s="6">
        <v>40</v>
      </c>
      <c r="O35" s="6">
        <v>5</v>
      </c>
      <c r="P35" s="6">
        <v>79</v>
      </c>
      <c r="Q35" s="4">
        <f t="shared" si="1"/>
        <v>227</v>
      </c>
      <c r="S35" s="5" t="s">
        <v>240</v>
      </c>
      <c r="T35" s="6" t="s">
        <v>241</v>
      </c>
      <c r="U35" s="6">
        <v>5</v>
      </c>
      <c r="V35" s="6">
        <v>67</v>
      </c>
      <c r="W35" s="6">
        <v>20</v>
      </c>
      <c r="X35" s="6">
        <v>35</v>
      </c>
      <c r="Y35" s="6">
        <v>23</v>
      </c>
      <c r="Z35" s="4">
        <f t="shared" si="2"/>
        <v>150</v>
      </c>
      <c r="AB35" s="7"/>
      <c r="AC35" s="7"/>
      <c r="AD35" s="7"/>
      <c r="AE35" s="7"/>
      <c r="AF35" s="7"/>
      <c r="AG35" s="7"/>
      <c r="AH35" s="7"/>
      <c r="AI35" s="7"/>
      <c r="AR35" s="52" t="s">
        <v>20</v>
      </c>
      <c r="AS35" s="51" t="s">
        <v>21</v>
      </c>
      <c r="AT35" s="51">
        <v>43</v>
      </c>
      <c r="AU35" s="51">
        <v>70</v>
      </c>
      <c r="AV35" s="51">
        <v>52</v>
      </c>
      <c r="AW35" s="51">
        <v>87</v>
      </c>
      <c r="AX35" s="51">
        <v>90</v>
      </c>
      <c r="AY35" s="53">
        <f t="shared" si="8"/>
        <v>342</v>
      </c>
      <c r="AZ35" s="52" t="s">
        <v>68</v>
      </c>
      <c r="BA35" s="51" t="s">
        <v>69</v>
      </c>
      <c r="BB35" s="51">
        <v>77</v>
      </c>
      <c r="BC35" s="51">
        <v>30</v>
      </c>
      <c r="BD35" s="51">
        <v>39</v>
      </c>
      <c r="BE35" s="51">
        <v>18</v>
      </c>
      <c r="BF35" s="51">
        <v>61</v>
      </c>
      <c r="BG35" s="53">
        <f t="shared" si="9"/>
        <v>225</v>
      </c>
    </row>
    <row r="36" spans="1:59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80</v>
      </c>
      <c r="M36" s="3">
        <v>39</v>
      </c>
      <c r="N36" s="3">
        <v>49</v>
      </c>
      <c r="O36" s="3">
        <v>87</v>
      </c>
      <c r="P36" s="3">
        <v>71</v>
      </c>
      <c r="Q36" s="4">
        <f t="shared" si="1"/>
        <v>326</v>
      </c>
      <c r="S36" s="2" t="s">
        <v>244</v>
      </c>
      <c r="T36" s="3" t="s">
        <v>245</v>
      </c>
      <c r="U36" s="3">
        <v>5</v>
      </c>
      <c r="V36" s="3">
        <v>29</v>
      </c>
      <c r="W36" s="3">
        <v>59</v>
      </c>
      <c r="X36" s="3">
        <v>54</v>
      </c>
      <c r="Y36" s="3">
        <v>65</v>
      </c>
      <c r="Z36" s="4">
        <f t="shared" si="2"/>
        <v>212</v>
      </c>
      <c r="AB36" s="8"/>
      <c r="AC36" s="8"/>
      <c r="AD36" s="8"/>
      <c r="AE36" s="8"/>
      <c r="AF36" s="8"/>
      <c r="AG36" s="8"/>
      <c r="AH36" s="8"/>
      <c r="AI36" s="8"/>
      <c r="AR36" s="52" t="s">
        <v>28</v>
      </c>
      <c r="AS36" s="51" t="s">
        <v>29</v>
      </c>
      <c r="AT36" s="51">
        <v>76</v>
      </c>
      <c r="AU36" s="51">
        <v>79</v>
      </c>
      <c r="AV36" s="50">
        <v>61</v>
      </c>
      <c r="AW36" s="51">
        <v>89</v>
      </c>
      <c r="AX36" s="51">
        <v>75</v>
      </c>
      <c r="AY36" s="53">
        <f t="shared" si="8"/>
        <v>380</v>
      </c>
      <c r="AZ36" s="52" t="s">
        <v>76</v>
      </c>
      <c r="BA36" s="51" t="s">
        <v>77</v>
      </c>
      <c r="BB36" s="51">
        <v>80</v>
      </c>
      <c r="BC36" s="50">
        <v>61</v>
      </c>
      <c r="BD36" s="51">
        <v>85</v>
      </c>
      <c r="BE36" s="51">
        <v>49</v>
      </c>
      <c r="BF36" s="51">
        <v>68</v>
      </c>
      <c r="BG36" s="53">
        <f t="shared" si="9"/>
        <v>343</v>
      </c>
    </row>
    <row r="37" spans="1:59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78</v>
      </c>
      <c r="M37" s="6">
        <v>32</v>
      </c>
      <c r="N37" s="6">
        <v>72</v>
      </c>
      <c r="O37" s="6">
        <v>83</v>
      </c>
      <c r="P37" s="6">
        <v>58</v>
      </c>
      <c r="Q37" s="4">
        <f t="shared" si="1"/>
        <v>323</v>
      </c>
      <c r="S37" s="5" t="s">
        <v>248</v>
      </c>
      <c r="T37" s="6" t="s">
        <v>249</v>
      </c>
      <c r="U37" s="6">
        <v>15</v>
      </c>
      <c r="V37" s="6">
        <v>40</v>
      </c>
      <c r="W37" s="6">
        <v>7</v>
      </c>
      <c r="X37" s="6">
        <v>46</v>
      </c>
      <c r="Y37" s="6">
        <v>81</v>
      </c>
      <c r="Z37" s="4">
        <f t="shared" si="2"/>
        <v>189</v>
      </c>
      <c r="AB37" s="7"/>
      <c r="AC37" s="7"/>
      <c r="AD37" s="7"/>
      <c r="AE37" s="7"/>
      <c r="AF37" s="7"/>
      <c r="AG37" s="7"/>
      <c r="AH37" s="7"/>
      <c r="AI37" s="7"/>
      <c r="AR37" s="52" t="s">
        <v>36</v>
      </c>
      <c r="AS37" s="51" t="s">
        <v>37</v>
      </c>
      <c r="AT37" s="51">
        <v>8</v>
      </c>
      <c r="AU37" s="51">
        <v>9</v>
      </c>
      <c r="AV37" s="51">
        <v>63</v>
      </c>
      <c r="AW37" s="51">
        <v>28</v>
      </c>
      <c r="AX37" s="51">
        <v>22</v>
      </c>
      <c r="AY37" s="53">
        <f t="shared" si="8"/>
        <v>130</v>
      </c>
      <c r="AZ37" s="52" t="s">
        <v>84</v>
      </c>
      <c r="BA37" s="51" t="s">
        <v>85</v>
      </c>
      <c r="BB37" s="51">
        <v>15</v>
      </c>
      <c r="BC37" s="51">
        <v>33</v>
      </c>
      <c r="BD37" s="51">
        <v>22</v>
      </c>
      <c r="BE37" s="51">
        <v>7</v>
      </c>
      <c r="BF37" s="51">
        <v>66</v>
      </c>
      <c r="BG37" s="53">
        <f t="shared" si="9"/>
        <v>143</v>
      </c>
    </row>
    <row r="38" spans="1:59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6</v>
      </c>
      <c r="M38" s="3">
        <v>63</v>
      </c>
      <c r="N38" s="3">
        <v>47</v>
      </c>
      <c r="O38" s="3">
        <v>31</v>
      </c>
      <c r="P38" s="3">
        <v>24</v>
      </c>
      <c r="Q38" s="4">
        <f t="shared" si="1"/>
        <v>171</v>
      </c>
      <c r="S38" s="2" t="s">
        <v>252</v>
      </c>
      <c r="T38" s="3" t="s">
        <v>253</v>
      </c>
      <c r="U38" s="3">
        <v>42</v>
      </c>
      <c r="V38" s="3">
        <v>6</v>
      </c>
      <c r="W38" s="3">
        <v>69</v>
      </c>
      <c r="X38" s="3">
        <v>55</v>
      </c>
      <c r="Y38" s="3">
        <v>48</v>
      </c>
      <c r="Z38" s="4">
        <f t="shared" si="2"/>
        <v>220</v>
      </c>
      <c r="AB38" s="8"/>
      <c r="AC38" s="8"/>
      <c r="AD38" s="8"/>
      <c r="AE38" s="8"/>
      <c r="AF38" s="8"/>
      <c r="AG38" s="8"/>
      <c r="AH38" s="8"/>
      <c r="AI38" s="8"/>
      <c r="AR38" s="52" t="s">
        <v>44</v>
      </c>
      <c r="AS38" s="51" t="s">
        <v>45</v>
      </c>
      <c r="AT38" s="51">
        <v>61</v>
      </c>
      <c r="AU38" s="51">
        <v>50</v>
      </c>
      <c r="AV38" s="51">
        <v>9</v>
      </c>
      <c r="AW38" s="51">
        <v>74</v>
      </c>
      <c r="AX38" s="51">
        <v>52</v>
      </c>
      <c r="AY38" s="53">
        <f t="shared" si="8"/>
        <v>246</v>
      </c>
      <c r="AZ38" s="52" t="s">
        <v>92</v>
      </c>
      <c r="BA38" s="51" t="s">
        <v>93</v>
      </c>
      <c r="BB38" s="51">
        <v>84</v>
      </c>
      <c r="BC38" s="51">
        <v>40</v>
      </c>
      <c r="BD38" s="51">
        <v>58</v>
      </c>
      <c r="BE38" s="51">
        <v>41</v>
      </c>
      <c r="BF38" s="51">
        <v>2</v>
      </c>
      <c r="BG38" s="53">
        <f t="shared" si="9"/>
        <v>225</v>
      </c>
    </row>
    <row r="39" spans="1:59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</v>
      </c>
      <c r="M39" s="6">
        <v>76</v>
      </c>
      <c r="N39" s="6">
        <v>59</v>
      </c>
      <c r="O39" s="6">
        <v>70</v>
      </c>
      <c r="P39" s="6">
        <v>19</v>
      </c>
      <c r="Q39" s="4">
        <f t="shared" si="1"/>
        <v>231</v>
      </c>
      <c r="S39" s="5" t="s">
        <v>256</v>
      </c>
      <c r="T39" s="6" t="s">
        <v>257</v>
      </c>
      <c r="U39" s="6">
        <v>10</v>
      </c>
      <c r="V39" s="6">
        <v>60</v>
      </c>
      <c r="W39" s="6">
        <v>39</v>
      </c>
      <c r="X39" s="6">
        <v>11</v>
      </c>
      <c r="Y39" s="6">
        <v>8</v>
      </c>
      <c r="Z39" s="4">
        <f t="shared" si="2"/>
        <v>128</v>
      </c>
      <c r="AB39" s="7"/>
      <c r="AC39" s="7"/>
      <c r="AD39" s="7"/>
      <c r="AE39" s="7"/>
      <c r="AF39" s="7"/>
      <c r="AG39" s="7"/>
      <c r="AH39" s="7"/>
      <c r="AI39" s="7"/>
      <c r="AR39" s="52" t="s">
        <v>52</v>
      </c>
      <c r="AS39" s="51" t="s">
        <v>53</v>
      </c>
      <c r="AT39" s="51">
        <v>62</v>
      </c>
      <c r="AU39" s="51">
        <v>16</v>
      </c>
      <c r="AV39" s="51">
        <v>34</v>
      </c>
      <c r="AW39" s="51">
        <v>19</v>
      </c>
      <c r="AX39" s="51">
        <v>55</v>
      </c>
      <c r="AY39" s="53">
        <f t="shared" si="8"/>
        <v>186</v>
      </c>
      <c r="AZ39" s="52" t="s">
        <v>100</v>
      </c>
      <c r="BA39" s="51" t="s">
        <v>101</v>
      </c>
      <c r="BB39" s="51">
        <v>18</v>
      </c>
      <c r="BC39" s="51">
        <v>62</v>
      </c>
      <c r="BD39" s="51">
        <v>76</v>
      </c>
      <c r="BE39" s="51">
        <v>65</v>
      </c>
      <c r="BF39" s="51">
        <v>43</v>
      </c>
      <c r="BG39" s="53">
        <f t="shared" si="9"/>
        <v>264</v>
      </c>
    </row>
    <row r="40" spans="1:59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52</v>
      </c>
      <c r="M40" s="3">
        <v>56</v>
      </c>
      <c r="N40" s="3">
        <v>82</v>
      </c>
      <c r="O40" s="3">
        <v>24</v>
      </c>
      <c r="P40" s="3">
        <v>42</v>
      </c>
      <c r="Q40" s="4">
        <f t="shared" si="1"/>
        <v>256</v>
      </c>
      <c r="S40" s="2" t="s">
        <v>260</v>
      </c>
      <c r="T40" s="3" t="s">
        <v>261</v>
      </c>
      <c r="U40" s="3">
        <v>37</v>
      </c>
      <c r="V40" s="3">
        <v>4</v>
      </c>
      <c r="W40" s="3">
        <v>22</v>
      </c>
      <c r="X40" s="3">
        <v>5</v>
      </c>
      <c r="Y40" s="3">
        <v>51</v>
      </c>
      <c r="Z40" s="4">
        <f t="shared" si="2"/>
        <v>119</v>
      </c>
      <c r="AB40" s="8"/>
      <c r="AC40" s="8"/>
      <c r="AD40" s="8"/>
      <c r="AE40" s="8"/>
      <c r="AF40" s="8"/>
      <c r="AG40" s="8"/>
      <c r="AH40" s="8"/>
      <c r="AI40" s="8"/>
      <c r="AR40" s="52" t="s">
        <v>60</v>
      </c>
      <c r="AS40" s="51" t="s">
        <v>61</v>
      </c>
      <c r="AT40" s="51">
        <v>86</v>
      </c>
      <c r="AU40" s="51">
        <v>40</v>
      </c>
      <c r="AV40" s="51">
        <v>88</v>
      </c>
      <c r="AW40" s="51">
        <v>27</v>
      </c>
      <c r="AX40" s="51">
        <v>74</v>
      </c>
      <c r="AY40" s="53">
        <f t="shared" si="8"/>
        <v>315</v>
      </c>
      <c r="AZ40" s="52" t="s">
        <v>108</v>
      </c>
      <c r="BA40" s="51" t="s">
        <v>109</v>
      </c>
      <c r="BB40" s="51">
        <v>30</v>
      </c>
      <c r="BC40" s="51">
        <v>16</v>
      </c>
      <c r="BD40" s="51">
        <v>22</v>
      </c>
      <c r="BE40" s="51">
        <v>2</v>
      </c>
      <c r="BF40" s="51">
        <v>85</v>
      </c>
      <c r="BG40" s="53">
        <f t="shared" si="9"/>
        <v>155</v>
      </c>
    </row>
    <row r="41" spans="1:59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74</v>
      </c>
      <c r="M41" s="6">
        <v>69</v>
      </c>
      <c r="N41" s="6">
        <v>90</v>
      </c>
      <c r="O41" s="6">
        <v>15</v>
      </c>
      <c r="P41" s="6">
        <v>68</v>
      </c>
      <c r="Q41" s="4">
        <f t="shared" si="1"/>
        <v>316</v>
      </c>
      <c r="S41" s="5" t="s">
        <v>264</v>
      </c>
      <c r="T41" s="6" t="s">
        <v>265</v>
      </c>
      <c r="U41" s="6">
        <v>52</v>
      </c>
      <c r="V41" s="6">
        <v>10</v>
      </c>
      <c r="W41" s="6">
        <v>39</v>
      </c>
      <c r="X41" s="6">
        <v>60</v>
      </c>
      <c r="Y41" s="6">
        <v>15</v>
      </c>
      <c r="Z41" s="4">
        <f t="shared" si="2"/>
        <v>176</v>
      </c>
      <c r="AB41" s="7"/>
      <c r="AC41" s="7"/>
      <c r="AD41" s="7"/>
      <c r="AE41" s="7"/>
      <c r="AF41" s="7"/>
      <c r="AG41" s="7"/>
      <c r="AH41" s="7"/>
      <c r="AI41" s="7"/>
      <c r="AR41" s="52" t="s">
        <v>68</v>
      </c>
      <c r="AS41" s="51" t="s">
        <v>69</v>
      </c>
      <c r="AT41" s="51">
        <v>77</v>
      </c>
      <c r="AU41" s="51">
        <v>30</v>
      </c>
      <c r="AV41" s="51">
        <v>39</v>
      </c>
      <c r="AW41" s="51">
        <v>18</v>
      </c>
      <c r="AX41" s="51">
        <v>61</v>
      </c>
      <c r="AY41" s="53">
        <f t="shared" si="8"/>
        <v>225</v>
      </c>
      <c r="AZ41" s="52" t="s">
        <v>116</v>
      </c>
      <c r="BA41" s="51" t="s">
        <v>117</v>
      </c>
      <c r="BB41" s="51">
        <v>6</v>
      </c>
      <c r="BC41" s="51">
        <v>11</v>
      </c>
      <c r="BD41" s="51">
        <v>52</v>
      </c>
      <c r="BE41" s="51">
        <v>70</v>
      </c>
      <c r="BF41" s="51">
        <v>49</v>
      </c>
      <c r="BG41" s="53">
        <f t="shared" si="9"/>
        <v>188</v>
      </c>
    </row>
    <row r="42" spans="1:59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16</v>
      </c>
      <c r="M42" s="3">
        <v>86</v>
      </c>
      <c r="N42" s="3">
        <v>2</v>
      </c>
      <c r="O42" s="3">
        <v>69</v>
      </c>
      <c r="P42" s="3">
        <v>67</v>
      </c>
      <c r="Q42" s="4">
        <f t="shared" si="1"/>
        <v>240</v>
      </c>
      <c r="S42" s="2" t="s">
        <v>268</v>
      </c>
      <c r="T42" s="3" t="s">
        <v>269</v>
      </c>
      <c r="U42" s="3">
        <v>75</v>
      </c>
      <c r="V42" s="3">
        <v>14</v>
      </c>
      <c r="W42" s="3">
        <v>84</v>
      </c>
      <c r="X42" s="3">
        <v>12</v>
      </c>
      <c r="Y42" s="3">
        <v>66</v>
      </c>
      <c r="Z42" s="4">
        <f t="shared" si="2"/>
        <v>251</v>
      </c>
      <c r="AB42" s="8"/>
      <c r="AC42" s="8"/>
      <c r="AD42" s="8"/>
      <c r="AE42" s="8"/>
      <c r="AF42" s="8"/>
      <c r="AG42" s="8"/>
      <c r="AH42" s="8"/>
      <c r="AI42" s="8"/>
      <c r="AR42" s="52" t="s">
        <v>76</v>
      </c>
      <c r="AS42" s="51" t="s">
        <v>77</v>
      </c>
      <c r="AT42" s="51">
        <v>80</v>
      </c>
      <c r="AU42" s="51">
        <v>61</v>
      </c>
      <c r="AV42" s="51">
        <v>85</v>
      </c>
      <c r="AW42" s="51">
        <v>49</v>
      </c>
      <c r="AX42" s="51">
        <v>68</v>
      </c>
      <c r="AY42" s="53">
        <f t="shared" si="8"/>
        <v>343</v>
      </c>
      <c r="AZ42" s="52" t="s">
        <v>124</v>
      </c>
      <c r="BA42" s="51" t="s">
        <v>125</v>
      </c>
      <c r="BB42" s="51">
        <v>38</v>
      </c>
      <c r="BC42" s="51">
        <v>17</v>
      </c>
      <c r="BD42" s="51">
        <v>3</v>
      </c>
      <c r="BE42" s="51">
        <v>74</v>
      </c>
      <c r="BF42" s="51">
        <v>39</v>
      </c>
      <c r="BG42" s="53">
        <f t="shared" si="9"/>
        <v>171</v>
      </c>
    </row>
    <row r="43" spans="1:59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72</v>
      </c>
      <c r="M43" s="6">
        <v>77</v>
      </c>
      <c r="N43" s="6">
        <v>40</v>
      </c>
      <c r="O43" s="6">
        <v>30</v>
      </c>
      <c r="P43" s="6">
        <v>16</v>
      </c>
      <c r="Q43" s="4">
        <f t="shared" si="1"/>
        <v>235</v>
      </c>
      <c r="S43" s="5" t="s">
        <v>272</v>
      </c>
      <c r="T43" s="6" t="s">
        <v>273</v>
      </c>
      <c r="U43" s="6">
        <v>3</v>
      </c>
      <c r="V43" s="6">
        <v>17</v>
      </c>
      <c r="W43" s="6">
        <v>56</v>
      </c>
      <c r="X43" s="6">
        <v>61</v>
      </c>
      <c r="Y43" s="6">
        <v>41</v>
      </c>
      <c r="Z43" s="4">
        <f t="shared" si="2"/>
        <v>178</v>
      </c>
      <c r="AB43" s="7"/>
      <c r="AC43" s="7"/>
      <c r="AD43" s="7"/>
      <c r="AE43" s="7"/>
      <c r="AF43" s="7"/>
      <c r="AG43" s="7"/>
      <c r="AH43" s="7"/>
      <c r="AI43" s="7"/>
      <c r="AR43" s="52" t="s">
        <v>84</v>
      </c>
      <c r="AS43" s="51" t="s">
        <v>85</v>
      </c>
      <c r="AT43" s="51">
        <v>15</v>
      </c>
      <c r="AU43" s="51">
        <v>33</v>
      </c>
      <c r="AV43" s="51">
        <v>22</v>
      </c>
      <c r="AW43" s="51">
        <v>7</v>
      </c>
      <c r="AX43" s="51">
        <v>66</v>
      </c>
      <c r="AY43" s="53">
        <f t="shared" si="8"/>
        <v>143</v>
      </c>
      <c r="AZ43" s="52" t="s">
        <v>132</v>
      </c>
      <c r="BA43" s="51" t="s">
        <v>133</v>
      </c>
      <c r="BB43" s="51">
        <v>27</v>
      </c>
      <c r="BC43" s="51">
        <v>48</v>
      </c>
      <c r="BD43" s="51">
        <v>14</v>
      </c>
      <c r="BE43" s="51">
        <v>38</v>
      </c>
      <c r="BF43" s="51">
        <v>81</v>
      </c>
      <c r="BG43" s="53">
        <f t="shared" si="9"/>
        <v>208</v>
      </c>
    </row>
    <row r="44" spans="1:59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22</v>
      </c>
      <c r="M44" s="3">
        <v>14</v>
      </c>
      <c r="N44" s="3">
        <v>4</v>
      </c>
      <c r="O44" s="3">
        <v>73</v>
      </c>
      <c r="P44" s="3">
        <v>49</v>
      </c>
      <c r="Q44" s="4">
        <f t="shared" si="1"/>
        <v>162</v>
      </c>
      <c r="S44" s="2" t="s">
        <v>276</v>
      </c>
      <c r="T44" s="3" t="s">
        <v>277</v>
      </c>
      <c r="U44" s="3">
        <v>10</v>
      </c>
      <c r="V44" s="3">
        <v>23</v>
      </c>
      <c r="W44" s="3">
        <v>56</v>
      </c>
      <c r="X44" s="3">
        <v>24</v>
      </c>
      <c r="Y44" s="3">
        <v>77</v>
      </c>
      <c r="Z44" s="4">
        <f t="shared" si="2"/>
        <v>190</v>
      </c>
      <c r="AB44" s="8"/>
      <c r="AC44" s="8"/>
      <c r="AD44" s="8"/>
      <c r="AE44" s="8"/>
      <c r="AF44" s="8"/>
      <c r="AG44" s="8"/>
      <c r="AH44" s="8"/>
      <c r="AI44" s="8"/>
      <c r="AR44" s="52" t="s">
        <v>92</v>
      </c>
      <c r="AS44" s="51" t="s">
        <v>93</v>
      </c>
      <c r="AT44" s="51">
        <v>84</v>
      </c>
      <c r="AU44" s="51">
        <v>40</v>
      </c>
      <c r="AV44" s="51">
        <v>58</v>
      </c>
      <c r="AW44" s="51">
        <v>41</v>
      </c>
      <c r="AX44" s="51">
        <v>2</v>
      </c>
      <c r="AY44" s="53">
        <f t="shared" si="8"/>
        <v>225</v>
      </c>
      <c r="AZ44" s="52" t="s">
        <v>140</v>
      </c>
      <c r="BA44" s="51" t="s">
        <v>141</v>
      </c>
      <c r="BB44" s="51">
        <v>50</v>
      </c>
      <c r="BC44" s="51">
        <v>55</v>
      </c>
      <c r="BD44" s="51">
        <v>43</v>
      </c>
      <c r="BE44" s="51">
        <v>16</v>
      </c>
      <c r="BF44" s="51">
        <v>52</v>
      </c>
      <c r="BG44" s="53">
        <f t="shared" si="9"/>
        <v>216</v>
      </c>
    </row>
    <row r="45" spans="1:59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30</v>
      </c>
      <c r="M45" s="6">
        <v>38</v>
      </c>
      <c r="N45" s="6">
        <v>20</v>
      </c>
      <c r="O45" s="6">
        <v>24</v>
      </c>
      <c r="P45" s="6">
        <v>45</v>
      </c>
      <c r="Q45" s="4">
        <f t="shared" si="1"/>
        <v>157</v>
      </c>
      <c r="S45" s="5" t="s">
        <v>280</v>
      </c>
      <c r="T45" s="6" t="s">
        <v>281</v>
      </c>
      <c r="U45" s="6">
        <v>16</v>
      </c>
      <c r="V45" s="6">
        <v>57</v>
      </c>
      <c r="W45" s="6">
        <v>89</v>
      </c>
      <c r="X45" s="6">
        <v>49</v>
      </c>
      <c r="Y45" s="6">
        <v>30</v>
      </c>
      <c r="Z45" s="4">
        <f t="shared" si="2"/>
        <v>241</v>
      </c>
      <c r="AB45" s="7"/>
      <c r="AC45" s="7"/>
      <c r="AD45" s="7"/>
      <c r="AE45" s="7"/>
      <c r="AF45" s="7"/>
      <c r="AG45" s="7"/>
      <c r="AH45" s="7"/>
      <c r="AI45" s="7"/>
      <c r="AR45" s="52" t="s">
        <v>100</v>
      </c>
      <c r="AS45" s="51" t="s">
        <v>101</v>
      </c>
      <c r="AT45" s="51">
        <v>18</v>
      </c>
      <c r="AU45" s="51">
        <v>62</v>
      </c>
      <c r="AV45" s="51">
        <v>76</v>
      </c>
      <c r="AW45" s="51">
        <v>65</v>
      </c>
      <c r="AX45" s="51">
        <v>43</v>
      </c>
      <c r="AY45" s="53">
        <f t="shared" si="8"/>
        <v>264</v>
      </c>
      <c r="AZ45" s="52" t="s">
        <v>148</v>
      </c>
      <c r="BA45" s="51" t="s">
        <v>149</v>
      </c>
      <c r="BB45" s="51">
        <v>22</v>
      </c>
      <c r="BC45" s="51">
        <v>39</v>
      </c>
      <c r="BD45" s="51">
        <v>44</v>
      </c>
      <c r="BE45" s="51">
        <v>47</v>
      </c>
      <c r="BF45" s="51">
        <v>15</v>
      </c>
      <c r="BG45" s="53">
        <f t="shared" si="9"/>
        <v>167</v>
      </c>
    </row>
    <row r="46" spans="1:59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78</v>
      </c>
      <c r="M46" s="3">
        <v>61</v>
      </c>
      <c r="N46" s="3">
        <v>88</v>
      </c>
      <c r="O46" s="3">
        <v>69</v>
      </c>
      <c r="P46" s="3">
        <v>64</v>
      </c>
      <c r="Q46" s="4">
        <f t="shared" si="1"/>
        <v>360</v>
      </c>
      <c r="S46" s="2" t="s">
        <v>284</v>
      </c>
      <c r="T46" s="3" t="s">
        <v>285</v>
      </c>
      <c r="U46" s="3">
        <v>66</v>
      </c>
      <c r="V46" s="3">
        <v>87</v>
      </c>
      <c r="W46" s="3">
        <v>47</v>
      </c>
      <c r="X46" s="3">
        <v>68</v>
      </c>
      <c r="Y46" s="3">
        <v>76</v>
      </c>
      <c r="Z46" s="4">
        <f t="shared" si="2"/>
        <v>344</v>
      </c>
      <c r="AB46" s="8"/>
      <c r="AC46" s="8"/>
      <c r="AD46" s="8"/>
      <c r="AE46" s="8"/>
      <c r="AF46" s="8"/>
      <c r="AG46" s="8"/>
      <c r="AH46" s="8"/>
      <c r="AI46" s="8"/>
      <c r="AR46" s="52" t="s">
        <v>108</v>
      </c>
      <c r="AS46" s="51" t="s">
        <v>109</v>
      </c>
      <c r="AT46" s="51">
        <v>30</v>
      </c>
      <c r="AU46" s="51">
        <v>16</v>
      </c>
      <c r="AV46" s="50">
        <v>22</v>
      </c>
      <c r="AW46" s="51">
        <v>2</v>
      </c>
      <c r="AX46" s="51">
        <v>85</v>
      </c>
      <c r="AY46" s="53">
        <f t="shared" si="8"/>
        <v>155</v>
      </c>
      <c r="AZ46" s="52" t="s">
        <v>156</v>
      </c>
      <c r="BA46" s="51" t="s">
        <v>157</v>
      </c>
      <c r="BB46" s="51">
        <v>45</v>
      </c>
      <c r="BC46" s="51">
        <v>70</v>
      </c>
      <c r="BD46" s="50">
        <v>22</v>
      </c>
      <c r="BE46" s="51">
        <v>18</v>
      </c>
      <c r="BF46" s="51">
        <v>58</v>
      </c>
      <c r="BG46" s="53">
        <f t="shared" si="9"/>
        <v>213</v>
      </c>
    </row>
    <row r="47" spans="1:59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37</v>
      </c>
      <c r="M47" s="6">
        <v>82</v>
      </c>
      <c r="N47" s="6">
        <v>22</v>
      </c>
      <c r="O47" s="6">
        <v>79</v>
      </c>
      <c r="P47" s="6">
        <v>13</v>
      </c>
      <c r="Q47" s="4">
        <f t="shared" si="1"/>
        <v>233</v>
      </c>
      <c r="S47" s="5" t="s">
        <v>288</v>
      </c>
      <c r="T47" s="6" t="s">
        <v>289</v>
      </c>
      <c r="U47" s="6">
        <v>45</v>
      </c>
      <c r="V47" s="6">
        <v>78</v>
      </c>
      <c r="W47" s="6">
        <v>43</v>
      </c>
      <c r="X47" s="6">
        <v>60</v>
      </c>
      <c r="Y47" s="6">
        <v>71</v>
      </c>
      <c r="Z47" s="4">
        <f t="shared" si="2"/>
        <v>297</v>
      </c>
      <c r="AB47" s="7"/>
      <c r="AC47" s="7"/>
      <c r="AD47" s="7"/>
      <c r="AE47" s="7"/>
      <c r="AF47" s="7"/>
      <c r="AG47" s="7"/>
      <c r="AH47" s="7"/>
      <c r="AI47" s="7"/>
      <c r="AR47" s="52" t="s">
        <v>116</v>
      </c>
      <c r="AS47" s="51" t="s">
        <v>117</v>
      </c>
      <c r="AT47" s="51">
        <v>6</v>
      </c>
      <c r="AU47" s="51">
        <v>11</v>
      </c>
      <c r="AV47" s="51">
        <v>52</v>
      </c>
      <c r="AW47" s="51">
        <v>70</v>
      </c>
      <c r="AX47" s="51">
        <v>49</v>
      </c>
      <c r="AY47" s="53">
        <f t="shared" si="8"/>
        <v>188</v>
      </c>
      <c r="AZ47" s="52" t="s">
        <v>164</v>
      </c>
      <c r="BA47" s="51" t="s">
        <v>165</v>
      </c>
      <c r="BB47" s="51">
        <v>81</v>
      </c>
      <c r="BC47" s="51">
        <v>31</v>
      </c>
      <c r="BD47" s="51">
        <v>64</v>
      </c>
      <c r="BE47" s="51">
        <v>86</v>
      </c>
      <c r="BF47" s="51">
        <v>62</v>
      </c>
      <c r="BG47" s="53">
        <f t="shared" si="9"/>
        <v>324</v>
      </c>
    </row>
    <row r="48" spans="1:59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86</v>
      </c>
      <c r="M48" s="3">
        <v>31</v>
      </c>
      <c r="N48" s="3">
        <v>42</v>
      </c>
      <c r="O48" s="3">
        <v>41</v>
      </c>
      <c r="P48" s="3">
        <v>36</v>
      </c>
      <c r="Q48" s="4">
        <f t="shared" si="1"/>
        <v>236</v>
      </c>
      <c r="S48" s="2" t="s">
        <v>292</v>
      </c>
      <c r="T48" s="3" t="s">
        <v>293</v>
      </c>
      <c r="U48" s="3">
        <v>66</v>
      </c>
      <c r="V48" s="3">
        <v>30</v>
      </c>
      <c r="W48" s="3">
        <v>82</v>
      </c>
      <c r="X48" s="3">
        <v>85</v>
      </c>
      <c r="Y48" s="3">
        <v>38</v>
      </c>
      <c r="Z48" s="4">
        <f t="shared" si="2"/>
        <v>301</v>
      </c>
      <c r="AB48" s="8"/>
      <c r="AC48" s="8"/>
      <c r="AD48" s="8"/>
      <c r="AE48" s="8"/>
      <c r="AF48" s="8"/>
      <c r="AG48" s="8"/>
      <c r="AH48" s="8"/>
      <c r="AI48" s="8"/>
      <c r="AR48" s="52" t="s">
        <v>124</v>
      </c>
      <c r="AS48" s="51" t="s">
        <v>125</v>
      </c>
      <c r="AT48" s="51">
        <v>38</v>
      </c>
      <c r="AU48" s="51">
        <v>17</v>
      </c>
      <c r="AV48" s="50">
        <v>3</v>
      </c>
      <c r="AW48" s="51">
        <v>74</v>
      </c>
      <c r="AX48" s="51">
        <v>39</v>
      </c>
      <c r="AY48" s="53">
        <f t="shared" si="8"/>
        <v>171</v>
      </c>
      <c r="AZ48" s="52" t="s">
        <v>172</v>
      </c>
      <c r="BA48" s="51" t="s">
        <v>173</v>
      </c>
      <c r="BB48" s="51">
        <v>58</v>
      </c>
      <c r="BC48" s="51">
        <v>59</v>
      </c>
      <c r="BD48" s="51">
        <v>81</v>
      </c>
      <c r="BE48" s="50">
        <v>3</v>
      </c>
      <c r="BF48" s="51">
        <v>76</v>
      </c>
      <c r="BG48" s="53">
        <f t="shared" si="9"/>
        <v>277</v>
      </c>
    </row>
    <row r="49" spans="1:59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62</v>
      </c>
      <c r="M49" s="6">
        <v>13</v>
      </c>
      <c r="N49" s="6">
        <v>71</v>
      </c>
      <c r="O49" s="6">
        <v>70</v>
      </c>
      <c r="P49" s="6">
        <v>59</v>
      </c>
      <c r="Q49" s="4">
        <f t="shared" si="1"/>
        <v>275</v>
      </c>
      <c r="S49" s="5" t="s">
        <v>296</v>
      </c>
      <c r="T49" s="6" t="s">
        <v>297</v>
      </c>
      <c r="U49" s="6">
        <v>84</v>
      </c>
      <c r="V49" s="6">
        <v>77</v>
      </c>
      <c r="W49" s="6">
        <v>1</v>
      </c>
      <c r="X49" s="6">
        <v>50</v>
      </c>
      <c r="Y49" s="6">
        <v>61</v>
      </c>
      <c r="Z49" s="4">
        <f t="shared" si="2"/>
        <v>273</v>
      </c>
      <c r="AB49" s="7"/>
      <c r="AC49" s="7"/>
      <c r="AD49" s="7"/>
      <c r="AE49" s="7"/>
      <c r="AF49" s="7"/>
      <c r="AG49" s="7"/>
      <c r="AH49" s="7"/>
      <c r="AI49" s="7"/>
      <c r="AR49" s="52" t="s">
        <v>132</v>
      </c>
      <c r="AS49" s="51" t="s">
        <v>133</v>
      </c>
      <c r="AT49" s="51">
        <v>27</v>
      </c>
      <c r="AU49" s="51">
        <v>48</v>
      </c>
      <c r="AV49" s="51">
        <v>14</v>
      </c>
      <c r="AW49" s="51">
        <v>38</v>
      </c>
      <c r="AX49" s="51">
        <v>81</v>
      </c>
      <c r="AY49" s="53">
        <f t="shared" si="8"/>
        <v>208</v>
      </c>
      <c r="AZ49" s="52" t="s">
        <v>180</v>
      </c>
      <c r="BA49" s="51" t="s">
        <v>181</v>
      </c>
      <c r="BB49" s="51">
        <v>82</v>
      </c>
      <c r="BC49" s="51">
        <v>5</v>
      </c>
      <c r="BD49" s="51">
        <v>44</v>
      </c>
      <c r="BE49" s="51">
        <v>74</v>
      </c>
      <c r="BF49" s="51">
        <v>30</v>
      </c>
      <c r="BG49" s="53">
        <f t="shared" si="9"/>
        <v>235</v>
      </c>
    </row>
    <row r="50" spans="1:59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85</v>
      </c>
      <c r="N50" s="3">
        <v>72</v>
      </c>
      <c r="O50" s="3">
        <v>55</v>
      </c>
      <c r="P50" s="3">
        <v>4</v>
      </c>
      <c r="Q50" s="4">
        <f t="shared" si="1"/>
        <v>255</v>
      </c>
      <c r="S50" s="2" t="s">
        <v>300</v>
      </c>
      <c r="T50" s="3" t="s">
        <v>301</v>
      </c>
      <c r="U50" s="3">
        <v>30</v>
      </c>
      <c r="V50" s="3">
        <v>73</v>
      </c>
      <c r="W50" s="3">
        <v>2</v>
      </c>
      <c r="X50" s="3">
        <v>74</v>
      </c>
      <c r="Y50" s="3">
        <v>4</v>
      </c>
      <c r="Z50" s="4">
        <f t="shared" si="2"/>
        <v>183</v>
      </c>
      <c r="AB50" s="8"/>
      <c r="AC50" s="8"/>
      <c r="AD50" s="8"/>
      <c r="AE50" s="8"/>
      <c r="AF50" s="8"/>
      <c r="AG50" s="8"/>
      <c r="AH50" s="8"/>
      <c r="AI50" s="8"/>
      <c r="AR50" s="52" t="s">
        <v>140</v>
      </c>
      <c r="AS50" s="51" t="s">
        <v>141</v>
      </c>
      <c r="AT50" s="51">
        <v>50</v>
      </c>
      <c r="AU50" s="51">
        <v>55</v>
      </c>
      <c r="AV50" s="51">
        <v>43</v>
      </c>
      <c r="AW50" s="51">
        <v>16</v>
      </c>
      <c r="AX50" s="51">
        <v>52</v>
      </c>
      <c r="AY50" s="53">
        <f t="shared" si="8"/>
        <v>216</v>
      </c>
      <c r="AZ50" s="52" t="s">
        <v>188</v>
      </c>
      <c r="BA50" s="51" t="s">
        <v>189</v>
      </c>
      <c r="BB50" s="51">
        <v>36</v>
      </c>
      <c r="BC50" s="51">
        <v>21</v>
      </c>
      <c r="BD50" s="51">
        <v>58</v>
      </c>
      <c r="BE50" s="51">
        <v>32</v>
      </c>
      <c r="BF50" s="51">
        <v>54</v>
      </c>
      <c r="BG50" s="53">
        <f t="shared" si="9"/>
        <v>201</v>
      </c>
    </row>
    <row r="51" spans="1:59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81</v>
      </c>
      <c r="M51" s="6">
        <v>85</v>
      </c>
      <c r="N51" s="6">
        <v>6</v>
      </c>
      <c r="O51" s="6">
        <v>20</v>
      </c>
      <c r="P51" s="6">
        <v>36</v>
      </c>
      <c r="Q51" s="4">
        <f t="shared" si="1"/>
        <v>228</v>
      </c>
      <c r="S51" s="5" t="s">
        <v>304</v>
      </c>
      <c r="T51" s="6" t="s">
        <v>305</v>
      </c>
      <c r="U51" s="6">
        <v>55</v>
      </c>
      <c r="V51" s="6">
        <v>56</v>
      </c>
      <c r="W51" s="6">
        <v>5</v>
      </c>
      <c r="X51" s="6">
        <v>34</v>
      </c>
      <c r="Y51" s="6">
        <v>76</v>
      </c>
      <c r="Z51" s="4">
        <f t="shared" si="2"/>
        <v>226</v>
      </c>
      <c r="AB51" s="7"/>
      <c r="AC51" s="7"/>
      <c r="AD51" s="7"/>
      <c r="AE51" s="7"/>
      <c r="AF51" s="7"/>
      <c r="AG51" s="7"/>
      <c r="AH51" s="7"/>
      <c r="AI51" s="7"/>
      <c r="AR51" s="52" t="s">
        <v>148</v>
      </c>
      <c r="AS51" s="51" t="s">
        <v>149</v>
      </c>
      <c r="AT51" s="51">
        <v>22</v>
      </c>
      <c r="AU51" s="51">
        <v>39</v>
      </c>
      <c r="AV51" s="51">
        <v>44</v>
      </c>
      <c r="AW51" s="50">
        <v>47</v>
      </c>
      <c r="AX51" s="51">
        <v>15</v>
      </c>
      <c r="AY51" s="53">
        <f t="shared" si="8"/>
        <v>167</v>
      </c>
      <c r="AZ51" s="52" t="s">
        <v>196</v>
      </c>
      <c r="BA51" s="51" t="s">
        <v>197</v>
      </c>
      <c r="BB51" s="51">
        <v>66</v>
      </c>
      <c r="BC51" s="51">
        <v>2</v>
      </c>
      <c r="BD51" s="50">
        <v>47</v>
      </c>
      <c r="BE51" s="51">
        <v>48</v>
      </c>
      <c r="BF51" s="51">
        <v>37</v>
      </c>
      <c r="BG51" s="53">
        <f>SUM(BB51:BF51)</f>
        <v>200</v>
      </c>
    </row>
    <row r="52" spans="1:59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21</v>
      </c>
      <c r="M52" s="3">
        <v>26</v>
      </c>
      <c r="N52" s="3">
        <v>32</v>
      </c>
      <c r="O52" s="3">
        <v>89</v>
      </c>
      <c r="P52" s="3">
        <v>61</v>
      </c>
      <c r="Q52" s="4">
        <f t="shared" si="1"/>
        <v>229</v>
      </c>
      <c r="S52" s="2" t="s">
        <v>308</v>
      </c>
      <c r="T52" s="3" t="s">
        <v>309</v>
      </c>
      <c r="U52" s="3">
        <v>2</v>
      </c>
      <c r="V52" s="3">
        <v>85</v>
      </c>
      <c r="W52" s="3">
        <v>14</v>
      </c>
      <c r="X52" s="3">
        <v>17</v>
      </c>
      <c r="Y52" s="3">
        <v>71</v>
      </c>
      <c r="Z52" s="4">
        <f t="shared" si="2"/>
        <v>189</v>
      </c>
      <c r="AB52" s="8"/>
      <c r="AC52" s="8"/>
      <c r="AD52" s="8"/>
      <c r="AE52" s="8"/>
      <c r="AF52" s="8"/>
      <c r="AG52" s="8"/>
      <c r="AH52" s="8"/>
      <c r="AI52" s="8"/>
      <c r="AR52" s="52" t="s">
        <v>156</v>
      </c>
      <c r="AS52" s="51" t="s">
        <v>157</v>
      </c>
      <c r="AT52" s="51">
        <v>45</v>
      </c>
      <c r="AU52" s="51">
        <v>70</v>
      </c>
      <c r="AV52" s="50">
        <v>22</v>
      </c>
      <c r="AW52" s="51">
        <v>18</v>
      </c>
      <c r="AX52" s="51">
        <v>58</v>
      </c>
      <c r="AY52" s="53">
        <f t="shared" si="8"/>
        <v>213</v>
      </c>
      <c r="AZ52" s="52" t="s">
        <v>204</v>
      </c>
      <c r="BA52" s="51" t="s">
        <v>205</v>
      </c>
      <c r="BB52" s="51">
        <v>88</v>
      </c>
      <c r="BC52" s="51">
        <v>33</v>
      </c>
      <c r="BD52" s="50">
        <v>22</v>
      </c>
      <c r="BE52" s="51">
        <v>53</v>
      </c>
      <c r="BF52" s="51">
        <v>47</v>
      </c>
      <c r="BG52" s="53">
        <f>SUM(BB52:BF52)</f>
        <v>243</v>
      </c>
    </row>
    <row r="53" spans="1:59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15</v>
      </c>
      <c r="M53" s="6">
        <v>49</v>
      </c>
      <c r="N53" s="6">
        <v>2</v>
      </c>
      <c r="O53" s="6">
        <v>88</v>
      </c>
      <c r="P53" s="6">
        <v>20</v>
      </c>
      <c r="Q53" s="4">
        <f t="shared" si="1"/>
        <v>174</v>
      </c>
      <c r="S53" s="5" t="s">
        <v>312</v>
      </c>
      <c r="T53" s="6" t="s">
        <v>313</v>
      </c>
      <c r="U53" s="6">
        <v>67</v>
      </c>
      <c r="V53" s="6">
        <v>79</v>
      </c>
      <c r="W53" s="6">
        <v>23</v>
      </c>
      <c r="X53" s="6">
        <v>64</v>
      </c>
      <c r="Y53" s="6">
        <v>87</v>
      </c>
      <c r="Z53" s="4">
        <f t="shared" si="2"/>
        <v>320</v>
      </c>
      <c r="AB53" s="7"/>
      <c r="AC53" s="7"/>
      <c r="AD53" s="7"/>
      <c r="AE53" s="7"/>
      <c r="AF53" s="7"/>
      <c r="AG53" s="7"/>
      <c r="AH53" s="7"/>
      <c r="AI53" s="7"/>
      <c r="AR53" s="52" t="s">
        <v>164</v>
      </c>
      <c r="AS53" s="51" t="s">
        <v>165</v>
      </c>
      <c r="AT53" s="51">
        <v>81</v>
      </c>
      <c r="AU53" s="51">
        <v>31</v>
      </c>
      <c r="AV53" s="51">
        <v>64</v>
      </c>
      <c r="AW53" s="51">
        <v>86</v>
      </c>
      <c r="AX53" s="51">
        <v>62</v>
      </c>
      <c r="AY53" s="53">
        <f t="shared" si="8"/>
        <v>324</v>
      </c>
      <c r="AZ53" s="52" t="s">
        <v>385</v>
      </c>
      <c r="BA53" s="54">
        <v>46567</v>
      </c>
      <c r="BB53" s="55">
        <v>14</v>
      </c>
      <c r="BC53" s="55">
        <v>70</v>
      </c>
      <c r="BD53" s="55">
        <v>63</v>
      </c>
      <c r="BE53" s="55">
        <v>49</v>
      </c>
      <c r="BF53" s="55">
        <v>37</v>
      </c>
      <c r="BG53" s="56">
        <f>SUM(BB53:BF53)</f>
        <v>233</v>
      </c>
    </row>
    <row r="54" spans="1:59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14</v>
      </c>
      <c r="M54" s="3">
        <v>30</v>
      </c>
      <c r="N54" s="3">
        <v>74</v>
      </c>
      <c r="O54" s="3">
        <v>90</v>
      </c>
      <c r="P54" s="3">
        <v>89</v>
      </c>
      <c r="Q54" s="4">
        <f t="shared" si="1"/>
        <v>297</v>
      </c>
      <c r="S54" s="2" t="s">
        <v>316</v>
      </c>
      <c r="T54" s="3" t="s">
        <v>317</v>
      </c>
      <c r="U54" s="3">
        <v>23</v>
      </c>
      <c r="V54" s="3">
        <v>4</v>
      </c>
      <c r="W54" s="3">
        <v>75</v>
      </c>
      <c r="X54" s="3">
        <v>5</v>
      </c>
      <c r="Y54" s="3">
        <v>55</v>
      </c>
      <c r="Z54" s="4">
        <f t="shared" si="2"/>
        <v>162</v>
      </c>
      <c r="AB54" s="8"/>
      <c r="AC54" s="8"/>
      <c r="AD54" s="8"/>
      <c r="AE54" s="8"/>
      <c r="AF54" s="8"/>
      <c r="AG54" s="8"/>
      <c r="AH54" s="8"/>
      <c r="AI54" s="8"/>
      <c r="AR54" s="52" t="s">
        <v>172</v>
      </c>
      <c r="AS54" s="51" t="s">
        <v>173</v>
      </c>
      <c r="AT54" s="51">
        <v>58</v>
      </c>
      <c r="AU54" s="51">
        <v>59</v>
      </c>
      <c r="AV54" s="51">
        <v>81</v>
      </c>
      <c r="AW54" s="51">
        <v>3</v>
      </c>
      <c r="AX54" s="51">
        <v>76</v>
      </c>
      <c r="AY54" s="53">
        <f t="shared" si="8"/>
        <v>277</v>
      </c>
    </row>
    <row r="55" spans="1:59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74</v>
      </c>
      <c r="M55" s="6">
        <v>23</v>
      </c>
      <c r="N55" s="6">
        <v>76</v>
      </c>
      <c r="O55" s="6">
        <v>18</v>
      </c>
      <c r="P55" s="6">
        <v>2</v>
      </c>
      <c r="Q55" s="4">
        <f t="shared" si="1"/>
        <v>193</v>
      </c>
      <c r="S55" s="5" t="s">
        <v>320</v>
      </c>
      <c r="T55" s="6" t="s">
        <v>321</v>
      </c>
      <c r="U55" s="6">
        <v>36</v>
      </c>
      <c r="V55" s="6">
        <v>72</v>
      </c>
      <c r="W55" s="6">
        <v>49</v>
      </c>
      <c r="X55" s="6">
        <v>14</v>
      </c>
      <c r="Y55" s="6">
        <v>59</v>
      </c>
      <c r="Z55" s="4">
        <f t="shared" si="2"/>
        <v>230</v>
      </c>
      <c r="AB55" s="7"/>
      <c r="AC55" s="7"/>
      <c r="AD55" s="7"/>
      <c r="AE55" s="7"/>
      <c r="AF55" s="7"/>
      <c r="AG55" s="7"/>
      <c r="AH55" s="7"/>
      <c r="AI55" s="7"/>
      <c r="AR55" s="52" t="s">
        <v>180</v>
      </c>
      <c r="AS55" s="51" t="s">
        <v>181</v>
      </c>
      <c r="AT55" s="51">
        <v>82</v>
      </c>
      <c r="AU55" s="51">
        <v>5</v>
      </c>
      <c r="AV55" s="51">
        <v>44</v>
      </c>
      <c r="AW55" s="51">
        <v>74</v>
      </c>
      <c r="AX55" s="51">
        <v>30</v>
      </c>
      <c r="AY55" s="53">
        <f t="shared" si="8"/>
        <v>235</v>
      </c>
    </row>
    <row r="56" spans="1:59" x14ac:dyDescent="0.2">
      <c r="A56" s="5" t="s">
        <v>238</v>
      </c>
      <c r="B56" s="6" t="s">
        <v>239</v>
      </c>
      <c r="C56" s="6">
        <v>43</v>
      </c>
      <c r="D56" s="6">
        <v>60</v>
      </c>
      <c r="E56" s="6">
        <v>40</v>
      </c>
      <c r="F56" s="6">
        <v>5</v>
      </c>
      <c r="G56" s="6">
        <v>79</v>
      </c>
      <c r="H56" s="4">
        <f t="shared" ref="H56:H102" si="10">SUM(C56:G56)</f>
        <v>227</v>
      </c>
      <c r="AR56" s="52" t="s">
        <v>188</v>
      </c>
      <c r="AS56" s="51" t="s">
        <v>189</v>
      </c>
      <c r="AT56" s="51">
        <v>36</v>
      </c>
      <c r="AU56" s="51">
        <v>21</v>
      </c>
      <c r="AV56" s="51">
        <v>58</v>
      </c>
      <c r="AW56" s="51">
        <v>32</v>
      </c>
      <c r="AX56" s="51">
        <v>54</v>
      </c>
      <c r="AY56" s="53">
        <f t="shared" si="8"/>
        <v>201</v>
      </c>
    </row>
    <row r="57" spans="1:59" x14ac:dyDescent="0.2">
      <c r="A57" s="2" t="s">
        <v>242</v>
      </c>
      <c r="B57" s="3" t="s">
        <v>243</v>
      </c>
      <c r="C57" s="3">
        <v>80</v>
      </c>
      <c r="D57" s="3">
        <v>39</v>
      </c>
      <c r="E57" s="3">
        <v>49</v>
      </c>
      <c r="F57" s="3">
        <v>87</v>
      </c>
      <c r="G57" s="3">
        <v>71</v>
      </c>
      <c r="H57" s="4">
        <f t="shared" si="10"/>
        <v>326</v>
      </c>
      <c r="AR57" s="52" t="s">
        <v>196</v>
      </c>
      <c r="AS57" s="51" t="s">
        <v>197</v>
      </c>
      <c r="AT57" s="51">
        <v>66</v>
      </c>
      <c r="AU57" s="51">
        <v>2</v>
      </c>
      <c r="AV57" s="51">
        <v>47</v>
      </c>
      <c r="AW57" s="51">
        <v>48</v>
      </c>
      <c r="AX57" s="51">
        <v>37</v>
      </c>
      <c r="AY57" s="53">
        <f t="shared" si="8"/>
        <v>200</v>
      </c>
    </row>
    <row r="58" spans="1:59" x14ac:dyDescent="0.2">
      <c r="A58" s="5" t="s">
        <v>246</v>
      </c>
      <c r="B58" s="6" t="s">
        <v>247</v>
      </c>
      <c r="C58" s="6">
        <v>78</v>
      </c>
      <c r="D58" s="6">
        <v>32</v>
      </c>
      <c r="E58" s="6">
        <v>72</v>
      </c>
      <c r="F58" s="6">
        <v>83</v>
      </c>
      <c r="G58" s="6">
        <v>58</v>
      </c>
      <c r="H58" s="4">
        <f t="shared" si="10"/>
        <v>323</v>
      </c>
      <c r="AR58" s="52" t="s">
        <v>204</v>
      </c>
      <c r="AS58" s="51" t="s">
        <v>205</v>
      </c>
      <c r="AT58" s="51">
        <v>88</v>
      </c>
      <c r="AU58" s="51">
        <v>33</v>
      </c>
      <c r="AV58" s="51">
        <v>22</v>
      </c>
      <c r="AW58" s="51">
        <v>53</v>
      </c>
      <c r="AX58" s="51">
        <v>47</v>
      </c>
      <c r="AY58" s="53">
        <f t="shared" si="8"/>
        <v>243</v>
      </c>
    </row>
    <row r="59" spans="1:59" x14ac:dyDescent="0.2">
      <c r="A59" s="2" t="s">
        <v>250</v>
      </c>
      <c r="B59" s="3" t="s">
        <v>251</v>
      </c>
      <c r="C59" s="3">
        <v>6</v>
      </c>
      <c r="D59" s="3">
        <v>63</v>
      </c>
      <c r="E59" s="3">
        <v>47</v>
      </c>
      <c r="F59" s="3">
        <v>31</v>
      </c>
      <c r="G59" s="3">
        <v>24</v>
      </c>
      <c r="H59" s="4">
        <f t="shared" si="10"/>
        <v>171</v>
      </c>
      <c r="AR59" s="52" t="s">
        <v>385</v>
      </c>
      <c r="AS59" s="54">
        <v>46567</v>
      </c>
      <c r="AT59" s="55">
        <v>14</v>
      </c>
      <c r="AU59" s="55">
        <v>70</v>
      </c>
      <c r="AV59" s="55">
        <v>63</v>
      </c>
      <c r="AW59" s="55">
        <v>49</v>
      </c>
      <c r="AX59" s="55">
        <v>37</v>
      </c>
      <c r="AY59" s="56">
        <f t="shared" si="8"/>
        <v>233</v>
      </c>
    </row>
    <row r="60" spans="1:59" x14ac:dyDescent="0.2">
      <c r="A60" s="5" t="s">
        <v>254</v>
      </c>
      <c r="B60" s="6" t="s">
        <v>255</v>
      </c>
      <c r="C60" s="6">
        <v>7</v>
      </c>
      <c r="D60" s="6">
        <v>76</v>
      </c>
      <c r="E60" s="6">
        <v>59</v>
      </c>
      <c r="F60" s="6">
        <v>70</v>
      </c>
      <c r="G60" s="6">
        <v>19</v>
      </c>
      <c r="H60" s="4">
        <f t="shared" si="10"/>
        <v>231</v>
      </c>
    </row>
    <row r="61" spans="1:59" x14ac:dyDescent="0.2">
      <c r="A61" s="2" t="s">
        <v>258</v>
      </c>
      <c r="B61" s="3" t="s">
        <v>259</v>
      </c>
      <c r="C61" s="3">
        <v>52</v>
      </c>
      <c r="D61" s="3">
        <v>56</v>
      </c>
      <c r="E61" s="3">
        <v>82</v>
      </c>
      <c r="F61" s="3">
        <v>24</v>
      </c>
      <c r="G61" s="3">
        <v>42</v>
      </c>
      <c r="H61" s="4">
        <f t="shared" si="10"/>
        <v>256</v>
      </c>
    </row>
    <row r="62" spans="1:59" x14ac:dyDescent="0.2">
      <c r="A62" s="57" t="s">
        <v>262</v>
      </c>
      <c r="B62" s="6" t="s">
        <v>263</v>
      </c>
      <c r="C62" s="6">
        <v>74</v>
      </c>
      <c r="D62" s="6">
        <v>69</v>
      </c>
      <c r="E62" s="6">
        <v>90</v>
      </c>
      <c r="F62" s="6">
        <v>15</v>
      </c>
      <c r="G62" s="6">
        <v>68</v>
      </c>
      <c r="H62" s="4">
        <f t="shared" si="10"/>
        <v>316</v>
      </c>
      <c r="J62" s="5" t="s">
        <v>238</v>
      </c>
      <c r="K62" s="6" t="s">
        <v>239</v>
      </c>
      <c r="L62" s="6">
        <v>43</v>
      </c>
      <c r="M62" s="6">
        <v>60</v>
      </c>
      <c r="N62" s="6">
        <v>40</v>
      </c>
      <c r="O62" s="6">
        <v>5</v>
      </c>
      <c r="P62" s="6">
        <v>79</v>
      </c>
      <c r="Q62" s="4">
        <f t="shared" ref="Q62:Q108" si="11">SUM(L62:P62)</f>
        <v>227</v>
      </c>
    </row>
    <row r="63" spans="1:59" x14ac:dyDescent="0.2">
      <c r="A63" s="2" t="s">
        <v>266</v>
      </c>
      <c r="B63" s="3" t="s">
        <v>267</v>
      </c>
      <c r="C63" s="3">
        <v>16</v>
      </c>
      <c r="D63" s="3">
        <v>86</v>
      </c>
      <c r="E63" s="3">
        <v>2</v>
      </c>
      <c r="F63" s="3">
        <v>69</v>
      </c>
      <c r="G63" s="3">
        <v>67</v>
      </c>
      <c r="H63" s="4">
        <f t="shared" si="10"/>
        <v>240</v>
      </c>
      <c r="J63" s="2" t="s">
        <v>242</v>
      </c>
      <c r="K63" s="3" t="s">
        <v>243</v>
      </c>
      <c r="L63" s="3">
        <v>80</v>
      </c>
      <c r="M63" s="3">
        <v>39</v>
      </c>
      <c r="N63" s="3">
        <v>49</v>
      </c>
      <c r="O63" s="3">
        <v>87</v>
      </c>
      <c r="P63" s="3">
        <v>71</v>
      </c>
      <c r="Q63" s="4">
        <f t="shared" si="11"/>
        <v>326</v>
      </c>
    </row>
    <row r="64" spans="1:59" x14ac:dyDescent="0.2">
      <c r="A64" s="5" t="s">
        <v>270</v>
      </c>
      <c r="B64" s="6" t="s">
        <v>271</v>
      </c>
      <c r="C64" s="49">
        <v>72</v>
      </c>
      <c r="D64" s="6">
        <v>77</v>
      </c>
      <c r="E64" s="6">
        <v>40</v>
      </c>
      <c r="F64" s="6">
        <v>30</v>
      </c>
      <c r="G64" s="6">
        <v>16</v>
      </c>
      <c r="H64" s="4">
        <f t="shared" si="10"/>
        <v>235</v>
      </c>
      <c r="J64" s="5" t="s">
        <v>246</v>
      </c>
      <c r="K64" s="6" t="s">
        <v>247</v>
      </c>
      <c r="L64" s="6">
        <v>78</v>
      </c>
      <c r="M64" s="6">
        <v>32</v>
      </c>
      <c r="N64" s="49">
        <v>72</v>
      </c>
      <c r="O64" s="6">
        <v>83</v>
      </c>
      <c r="P64" s="6">
        <v>58</v>
      </c>
      <c r="Q64" s="4">
        <f t="shared" si="11"/>
        <v>323</v>
      </c>
    </row>
    <row r="65" spans="1:17" x14ac:dyDescent="0.2">
      <c r="A65" s="2" t="s">
        <v>274</v>
      </c>
      <c r="B65" s="3" t="s">
        <v>275</v>
      </c>
      <c r="C65" s="3">
        <v>22</v>
      </c>
      <c r="D65" s="3">
        <v>14</v>
      </c>
      <c r="E65" s="3">
        <v>4</v>
      </c>
      <c r="F65" s="3">
        <v>73</v>
      </c>
      <c r="G65" s="3">
        <v>49</v>
      </c>
      <c r="H65" s="4">
        <f t="shared" si="10"/>
        <v>162</v>
      </c>
      <c r="J65" s="2" t="s">
        <v>250</v>
      </c>
      <c r="K65" s="3" t="s">
        <v>251</v>
      </c>
      <c r="L65" s="3">
        <v>6</v>
      </c>
      <c r="M65" s="3">
        <v>63</v>
      </c>
      <c r="N65" s="3">
        <v>47</v>
      </c>
      <c r="O65" s="3">
        <v>31</v>
      </c>
      <c r="P65" s="3">
        <v>24</v>
      </c>
      <c r="Q65" s="4">
        <f t="shared" si="11"/>
        <v>171</v>
      </c>
    </row>
    <row r="66" spans="1:17" x14ac:dyDescent="0.2">
      <c r="A66" s="5" t="s">
        <v>278</v>
      </c>
      <c r="B66" s="6" t="s">
        <v>279</v>
      </c>
      <c r="C66" s="6">
        <v>30</v>
      </c>
      <c r="D66" s="6">
        <v>38</v>
      </c>
      <c r="E66" s="6">
        <v>20</v>
      </c>
      <c r="F66" s="6">
        <v>24</v>
      </c>
      <c r="G66" s="6">
        <v>45</v>
      </c>
      <c r="H66" s="4">
        <f t="shared" si="10"/>
        <v>157</v>
      </c>
      <c r="J66" s="5" t="s">
        <v>254</v>
      </c>
      <c r="K66" s="6" t="s">
        <v>255</v>
      </c>
      <c r="L66" s="6">
        <v>7</v>
      </c>
      <c r="M66" s="6">
        <v>76</v>
      </c>
      <c r="N66" s="6">
        <v>59</v>
      </c>
      <c r="O66" s="6">
        <v>70</v>
      </c>
      <c r="P66" s="6">
        <v>19</v>
      </c>
      <c r="Q66" s="4">
        <f t="shared" si="11"/>
        <v>231</v>
      </c>
    </row>
    <row r="67" spans="1:17" x14ac:dyDescent="0.2">
      <c r="A67" s="2" t="s">
        <v>282</v>
      </c>
      <c r="B67" s="3" t="s">
        <v>283</v>
      </c>
      <c r="C67" s="3">
        <v>78</v>
      </c>
      <c r="D67" s="3">
        <v>61</v>
      </c>
      <c r="E67" s="3">
        <v>88</v>
      </c>
      <c r="F67" s="3">
        <v>69</v>
      </c>
      <c r="G67" s="3">
        <v>64</v>
      </c>
      <c r="H67" s="4">
        <f t="shared" si="10"/>
        <v>360</v>
      </c>
      <c r="J67" s="2" t="s">
        <v>258</v>
      </c>
      <c r="K67" s="3" t="s">
        <v>259</v>
      </c>
      <c r="L67" s="3">
        <v>52</v>
      </c>
      <c r="M67" s="3">
        <v>56</v>
      </c>
      <c r="N67" s="3">
        <v>82</v>
      </c>
      <c r="O67" s="3">
        <v>24</v>
      </c>
      <c r="P67" s="3">
        <v>42</v>
      </c>
      <c r="Q67" s="4">
        <f t="shared" si="11"/>
        <v>256</v>
      </c>
    </row>
    <row r="68" spans="1:17" x14ac:dyDescent="0.2">
      <c r="A68" s="5" t="s">
        <v>286</v>
      </c>
      <c r="B68" s="6" t="s">
        <v>287</v>
      </c>
      <c r="C68" s="6">
        <v>37</v>
      </c>
      <c r="D68" s="6">
        <v>82</v>
      </c>
      <c r="E68" s="6">
        <v>22</v>
      </c>
      <c r="F68" s="6">
        <v>79</v>
      </c>
      <c r="G68" s="6">
        <v>13</v>
      </c>
      <c r="H68" s="4">
        <f t="shared" si="10"/>
        <v>233</v>
      </c>
      <c r="J68" s="57" t="s">
        <v>262</v>
      </c>
      <c r="K68" s="6" t="s">
        <v>263</v>
      </c>
      <c r="L68" s="6">
        <v>74</v>
      </c>
      <c r="M68" s="6">
        <v>69</v>
      </c>
      <c r="N68" s="6">
        <v>90</v>
      </c>
      <c r="O68" s="6">
        <v>15</v>
      </c>
      <c r="P68" s="6">
        <v>68</v>
      </c>
      <c r="Q68" s="4">
        <f t="shared" si="11"/>
        <v>316</v>
      </c>
    </row>
    <row r="69" spans="1:17" x14ac:dyDescent="0.2">
      <c r="A69" s="2" t="s">
        <v>290</v>
      </c>
      <c r="B69" s="3" t="s">
        <v>291</v>
      </c>
      <c r="C69" s="49">
        <v>86</v>
      </c>
      <c r="D69" s="3">
        <v>31</v>
      </c>
      <c r="E69" s="3">
        <v>42</v>
      </c>
      <c r="F69" s="3">
        <v>41</v>
      </c>
      <c r="G69" s="3">
        <v>36</v>
      </c>
      <c r="H69" s="4">
        <f t="shared" si="10"/>
        <v>236</v>
      </c>
      <c r="J69" s="2" t="s">
        <v>266</v>
      </c>
      <c r="K69" s="3" t="s">
        <v>267</v>
      </c>
      <c r="L69" s="3">
        <v>16</v>
      </c>
      <c r="M69" s="49">
        <v>86</v>
      </c>
      <c r="N69" s="3">
        <v>2</v>
      </c>
      <c r="O69" s="3">
        <v>69</v>
      </c>
      <c r="P69" s="3">
        <v>67</v>
      </c>
      <c r="Q69" s="4">
        <f t="shared" si="11"/>
        <v>240</v>
      </c>
    </row>
    <row r="70" spans="1:17" x14ac:dyDescent="0.2">
      <c r="A70" s="5" t="s">
        <v>294</v>
      </c>
      <c r="B70" s="6" t="s">
        <v>295</v>
      </c>
      <c r="C70" s="6">
        <v>62</v>
      </c>
      <c r="D70" s="6">
        <v>13</v>
      </c>
      <c r="E70" s="6">
        <v>71</v>
      </c>
      <c r="F70" s="6">
        <v>70</v>
      </c>
      <c r="G70" s="6">
        <v>59</v>
      </c>
      <c r="H70" s="4">
        <f t="shared" si="10"/>
        <v>275</v>
      </c>
      <c r="J70" s="5" t="s">
        <v>270</v>
      </c>
      <c r="K70" s="6" t="s">
        <v>271</v>
      </c>
      <c r="L70" s="6">
        <v>72</v>
      </c>
      <c r="M70" s="6">
        <v>77</v>
      </c>
      <c r="N70" s="6">
        <v>40</v>
      </c>
      <c r="O70" s="6">
        <v>30</v>
      </c>
      <c r="P70" s="6">
        <v>16</v>
      </c>
      <c r="Q70" s="4">
        <f t="shared" si="11"/>
        <v>235</v>
      </c>
    </row>
    <row r="71" spans="1:17" x14ac:dyDescent="0.2">
      <c r="A71" s="2" t="s">
        <v>298</v>
      </c>
      <c r="B71" s="3" t="s">
        <v>299</v>
      </c>
      <c r="C71" s="3">
        <v>39</v>
      </c>
      <c r="D71" s="3">
        <v>85</v>
      </c>
      <c r="E71" s="3">
        <v>72</v>
      </c>
      <c r="F71" s="3">
        <v>55</v>
      </c>
      <c r="G71" s="49">
        <v>4</v>
      </c>
      <c r="H71" s="4">
        <f t="shared" si="10"/>
        <v>255</v>
      </c>
      <c r="J71" s="2" t="s">
        <v>274</v>
      </c>
      <c r="K71" s="3" t="s">
        <v>275</v>
      </c>
      <c r="L71" s="3">
        <v>22</v>
      </c>
      <c r="M71" s="3">
        <v>14</v>
      </c>
      <c r="N71" s="49">
        <v>4</v>
      </c>
      <c r="O71" s="3">
        <v>73</v>
      </c>
      <c r="P71" s="3">
        <v>49</v>
      </c>
      <c r="Q71" s="4">
        <f t="shared" si="11"/>
        <v>162</v>
      </c>
    </row>
    <row r="72" spans="1:17" x14ac:dyDescent="0.2">
      <c r="A72" s="5" t="s">
        <v>302</v>
      </c>
      <c r="B72" s="6" t="s">
        <v>303</v>
      </c>
      <c r="C72" s="6">
        <v>81</v>
      </c>
      <c r="D72" s="6">
        <v>85</v>
      </c>
      <c r="E72" s="6">
        <v>6</v>
      </c>
      <c r="F72" s="49">
        <v>20</v>
      </c>
      <c r="G72" s="6">
        <v>36</v>
      </c>
      <c r="H72" s="4">
        <f t="shared" si="10"/>
        <v>228</v>
      </c>
      <c r="J72" s="5" t="s">
        <v>278</v>
      </c>
      <c r="K72" s="6" t="s">
        <v>279</v>
      </c>
      <c r="L72" s="6">
        <v>30</v>
      </c>
      <c r="M72" s="6">
        <v>38</v>
      </c>
      <c r="N72" s="49">
        <v>20</v>
      </c>
      <c r="O72" s="6">
        <v>24</v>
      </c>
      <c r="P72" s="6">
        <v>45</v>
      </c>
      <c r="Q72" s="4">
        <f t="shared" si="11"/>
        <v>157</v>
      </c>
    </row>
    <row r="73" spans="1:17" x14ac:dyDescent="0.2">
      <c r="A73" s="2" t="s">
        <v>306</v>
      </c>
      <c r="B73" s="3" t="s">
        <v>307</v>
      </c>
      <c r="C73" s="3">
        <v>21</v>
      </c>
      <c r="D73" s="3">
        <v>26</v>
      </c>
      <c r="E73" s="3">
        <v>32</v>
      </c>
      <c r="F73" s="3">
        <v>89</v>
      </c>
      <c r="G73" s="49">
        <v>61</v>
      </c>
      <c r="H73" s="4">
        <f t="shared" si="10"/>
        <v>229</v>
      </c>
      <c r="J73" s="2" t="s">
        <v>282</v>
      </c>
      <c r="K73" s="3" t="s">
        <v>283</v>
      </c>
      <c r="L73" s="3">
        <v>78</v>
      </c>
      <c r="M73" s="49">
        <v>61</v>
      </c>
      <c r="N73" s="3">
        <v>88</v>
      </c>
      <c r="O73" s="3">
        <v>69</v>
      </c>
      <c r="P73" s="3">
        <v>64</v>
      </c>
      <c r="Q73" s="4">
        <f t="shared" si="11"/>
        <v>360</v>
      </c>
    </row>
    <row r="74" spans="1:17" x14ac:dyDescent="0.2">
      <c r="A74" s="5" t="s">
        <v>310</v>
      </c>
      <c r="B74" s="6" t="s">
        <v>311</v>
      </c>
      <c r="C74" s="6">
        <v>15</v>
      </c>
      <c r="D74" s="6">
        <v>49</v>
      </c>
      <c r="E74" s="6">
        <v>2</v>
      </c>
      <c r="F74" s="6">
        <v>88</v>
      </c>
      <c r="G74" s="6">
        <v>20</v>
      </c>
      <c r="H74" s="4">
        <f t="shared" si="10"/>
        <v>174</v>
      </c>
      <c r="J74" s="5" t="s">
        <v>286</v>
      </c>
      <c r="K74" s="6" t="s">
        <v>287</v>
      </c>
      <c r="L74" s="6">
        <v>37</v>
      </c>
      <c r="M74" s="6">
        <v>82</v>
      </c>
      <c r="N74" s="6">
        <v>22</v>
      </c>
      <c r="O74" s="6">
        <v>79</v>
      </c>
      <c r="P74" s="6">
        <v>13</v>
      </c>
      <c r="Q74" s="4">
        <f t="shared" si="11"/>
        <v>233</v>
      </c>
    </row>
    <row r="75" spans="1:17" x14ac:dyDescent="0.2">
      <c r="A75" s="2" t="s">
        <v>314</v>
      </c>
      <c r="B75" s="3" t="s">
        <v>315</v>
      </c>
      <c r="C75" s="3">
        <v>14</v>
      </c>
      <c r="D75" s="3">
        <v>30</v>
      </c>
      <c r="E75" s="3">
        <v>74</v>
      </c>
      <c r="F75" s="3">
        <v>90</v>
      </c>
      <c r="G75" s="3">
        <v>89</v>
      </c>
      <c r="H75" s="4">
        <f t="shared" si="10"/>
        <v>297</v>
      </c>
      <c r="J75" s="2" t="s">
        <v>290</v>
      </c>
      <c r="K75" s="3" t="s">
        <v>291</v>
      </c>
      <c r="L75" s="3">
        <v>86</v>
      </c>
      <c r="M75" s="3">
        <v>31</v>
      </c>
      <c r="N75" s="3">
        <v>42</v>
      </c>
      <c r="O75" s="3">
        <v>41</v>
      </c>
      <c r="P75" s="3">
        <v>36</v>
      </c>
      <c r="Q75" s="4">
        <f t="shared" si="11"/>
        <v>236</v>
      </c>
    </row>
    <row r="76" spans="1:17" x14ac:dyDescent="0.2">
      <c r="A76" s="5" t="s">
        <v>318</v>
      </c>
      <c r="B76" s="6" t="s">
        <v>319</v>
      </c>
      <c r="C76" s="6">
        <v>74</v>
      </c>
      <c r="D76" s="6">
        <v>23</v>
      </c>
      <c r="E76" s="6">
        <v>76</v>
      </c>
      <c r="F76" s="6">
        <v>18</v>
      </c>
      <c r="G76" s="6">
        <v>2</v>
      </c>
      <c r="H76" s="4">
        <f t="shared" si="10"/>
        <v>193</v>
      </c>
      <c r="J76" s="5" t="s">
        <v>294</v>
      </c>
      <c r="K76" s="6" t="s">
        <v>295</v>
      </c>
      <c r="L76" s="6">
        <v>62</v>
      </c>
      <c r="M76" s="6">
        <v>13</v>
      </c>
      <c r="N76" s="6">
        <v>71</v>
      </c>
      <c r="O76" s="6">
        <v>70</v>
      </c>
      <c r="P76" s="6">
        <v>59</v>
      </c>
      <c r="Q76" s="4">
        <f t="shared" si="11"/>
        <v>275</v>
      </c>
    </row>
    <row r="77" spans="1:17" x14ac:dyDescent="0.2">
      <c r="A77" s="2" t="s">
        <v>12</v>
      </c>
      <c r="B77" s="3" t="s">
        <v>13</v>
      </c>
      <c r="C77" s="3">
        <v>46</v>
      </c>
      <c r="D77" s="3">
        <v>3</v>
      </c>
      <c r="E77" s="3">
        <v>53</v>
      </c>
      <c r="F77" s="3">
        <v>80</v>
      </c>
      <c r="G77" s="3">
        <v>56</v>
      </c>
      <c r="H77" s="4">
        <f t="shared" si="10"/>
        <v>238</v>
      </c>
      <c r="J77" s="2" t="s">
        <v>298</v>
      </c>
      <c r="K77" s="3" t="s">
        <v>299</v>
      </c>
      <c r="L77" s="3">
        <v>39</v>
      </c>
      <c r="M77" s="3">
        <v>85</v>
      </c>
      <c r="N77" s="3">
        <v>72</v>
      </c>
      <c r="O77" s="3">
        <v>55</v>
      </c>
      <c r="P77" s="3">
        <v>4</v>
      </c>
      <c r="Q77" s="4">
        <f t="shared" si="11"/>
        <v>255</v>
      </c>
    </row>
    <row r="78" spans="1:17" x14ac:dyDescent="0.2">
      <c r="A78" s="5" t="s">
        <v>20</v>
      </c>
      <c r="B78" s="6" t="s">
        <v>21</v>
      </c>
      <c r="C78" s="6">
        <v>43</v>
      </c>
      <c r="D78" s="44">
        <v>70</v>
      </c>
      <c r="E78" s="44">
        <v>52</v>
      </c>
      <c r="F78" s="6">
        <v>87</v>
      </c>
      <c r="G78" s="6">
        <v>90</v>
      </c>
      <c r="H78" s="4">
        <f t="shared" si="10"/>
        <v>342</v>
      </c>
      <c r="J78" s="5" t="s">
        <v>302</v>
      </c>
      <c r="K78" s="6" t="s">
        <v>303</v>
      </c>
      <c r="L78" s="6">
        <v>81</v>
      </c>
      <c r="M78" s="6">
        <v>85</v>
      </c>
      <c r="N78" s="6">
        <v>6</v>
      </c>
      <c r="O78" s="6">
        <v>20</v>
      </c>
      <c r="P78" s="6">
        <v>36</v>
      </c>
      <c r="Q78" s="4">
        <f t="shared" si="11"/>
        <v>228</v>
      </c>
    </row>
    <row r="79" spans="1:17" x14ac:dyDescent="0.2">
      <c r="A79" s="2" t="s">
        <v>28</v>
      </c>
      <c r="B79" s="3" t="s">
        <v>29</v>
      </c>
      <c r="C79" s="3">
        <v>76</v>
      </c>
      <c r="D79" s="44">
        <v>79</v>
      </c>
      <c r="E79" s="49">
        <v>61</v>
      </c>
      <c r="F79" s="49">
        <v>89</v>
      </c>
      <c r="G79" s="3">
        <v>75</v>
      </c>
      <c r="H79" s="4">
        <f t="shared" si="10"/>
        <v>380</v>
      </c>
      <c r="J79" s="2" t="s">
        <v>306</v>
      </c>
      <c r="K79" s="3" t="s">
        <v>307</v>
      </c>
      <c r="L79" s="3">
        <v>21</v>
      </c>
      <c r="M79" s="3">
        <v>26</v>
      </c>
      <c r="N79" s="3">
        <v>32</v>
      </c>
      <c r="O79" s="49">
        <v>89</v>
      </c>
      <c r="P79" s="49">
        <v>61</v>
      </c>
      <c r="Q79" s="4">
        <f t="shared" si="11"/>
        <v>229</v>
      </c>
    </row>
    <row r="80" spans="1:17" x14ac:dyDescent="0.2">
      <c r="A80" s="5" t="s">
        <v>36</v>
      </c>
      <c r="B80" s="6" t="s">
        <v>37</v>
      </c>
      <c r="C80" s="6">
        <v>8</v>
      </c>
      <c r="D80" s="44">
        <v>9</v>
      </c>
      <c r="E80" s="6">
        <v>63</v>
      </c>
      <c r="F80" s="6">
        <v>28</v>
      </c>
      <c r="G80" s="6">
        <v>22</v>
      </c>
      <c r="H80" s="4">
        <f t="shared" si="10"/>
        <v>130</v>
      </c>
      <c r="J80" s="5" t="s">
        <v>310</v>
      </c>
      <c r="K80" s="6" t="s">
        <v>311</v>
      </c>
      <c r="L80" s="6">
        <v>15</v>
      </c>
      <c r="M80" s="6">
        <v>49</v>
      </c>
      <c r="N80" s="6">
        <v>2</v>
      </c>
      <c r="O80" s="6">
        <v>88</v>
      </c>
      <c r="P80" s="6">
        <v>20</v>
      </c>
      <c r="Q80" s="4">
        <f t="shared" si="11"/>
        <v>174</v>
      </c>
    </row>
    <row r="81" spans="1:17" x14ac:dyDescent="0.2">
      <c r="A81" s="2" t="s">
        <v>44</v>
      </c>
      <c r="B81" s="3" t="s">
        <v>45</v>
      </c>
      <c r="C81" s="3">
        <v>61</v>
      </c>
      <c r="D81" s="3">
        <v>50</v>
      </c>
      <c r="E81" s="44">
        <v>9</v>
      </c>
      <c r="F81" s="50">
        <v>74</v>
      </c>
      <c r="G81" s="44">
        <v>52</v>
      </c>
      <c r="H81" s="4">
        <f t="shared" si="10"/>
        <v>246</v>
      </c>
      <c r="J81" s="2" t="s">
        <v>314</v>
      </c>
      <c r="K81" s="3" t="s">
        <v>315</v>
      </c>
      <c r="L81" s="3">
        <v>14</v>
      </c>
      <c r="M81" s="3">
        <v>30</v>
      </c>
      <c r="N81" s="49">
        <v>74</v>
      </c>
      <c r="O81" s="3">
        <v>90</v>
      </c>
      <c r="P81" s="3">
        <v>89</v>
      </c>
      <c r="Q81" s="4">
        <f t="shared" si="11"/>
        <v>297</v>
      </c>
    </row>
    <row r="82" spans="1:17" x14ac:dyDescent="0.2">
      <c r="A82" s="5" t="s">
        <v>52</v>
      </c>
      <c r="B82" s="6" t="s">
        <v>53</v>
      </c>
      <c r="C82" s="6">
        <v>62</v>
      </c>
      <c r="D82" s="6">
        <v>16</v>
      </c>
      <c r="E82" s="6">
        <v>34</v>
      </c>
      <c r="F82" s="6">
        <v>19</v>
      </c>
      <c r="G82" s="6">
        <v>55</v>
      </c>
      <c r="H82" s="4">
        <f t="shared" si="10"/>
        <v>186</v>
      </c>
      <c r="J82" s="5" t="s">
        <v>318</v>
      </c>
      <c r="K82" s="6" t="s">
        <v>319</v>
      </c>
      <c r="L82" s="6">
        <v>74</v>
      </c>
      <c r="M82" s="6">
        <v>23</v>
      </c>
      <c r="N82" s="6">
        <v>76</v>
      </c>
      <c r="O82" s="6">
        <v>18</v>
      </c>
      <c r="P82" s="6">
        <v>2</v>
      </c>
      <c r="Q82" s="4">
        <f t="shared" si="11"/>
        <v>193</v>
      </c>
    </row>
    <row r="83" spans="1:17" x14ac:dyDescent="0.2">
      <c r="A83" s="2" t="s">
        <v>60</v>
      </c>
      <c r="B83" s="3" t="s">
        <v>61</v>
      </c>
      <c r="C83" s="3">
        <v>86</v>
      </c>
      <c r="D83" s="3">
        <v>40</v>
      </c>
      <c r="E83" s="3">
        <v>88</v>
      </c>
      <c r="F83" s="3">
        <v>27</v>
      </c>
      <c r="G83" s="3">
        <v>74</v>
      </c>
      <c r="H83" s="4">
        <f t="shared" si="10"/>
        <v>315</v>
      </c>
      <c r="J83" s="2" t="s">
        <v>12</v>
      </c>
      <c r="K83" s="3" t="s">
        <v>13</v>
      </c>
      <c r="L83" s="3">
        <v>46</v>
      </c>
      <c r="M83" s="3">
        <v>3</v>
      </c>
      <c r="N83" s="3">
        <v>53</v>
      </c>
      <c r="O83" s="3">
        <v>80</v>
      </c>
      <c r="P83" s="3">
        <v>56</v>
      </c>
      <c r="Q83" s="4">
        <f t="shared" si="11"/>
        <v>238</v>
      </c>
    </row>
    <row r="84" spans="1:17" x14ac:dyDescent="0.2">
      <c r="A84" s="5" t="s">
        <v>68</v>
      </c>
      <c r="B84" s="6" t="s">
        <v>69</v>
      </c>
      <c r="C84" s="44">
        <v>77</v>
      </c>
      <c r="D84" s="6">
        <v>30</v>
      </c>
      <c r="E84" s="6">
        <v>39</v>
      </c>
      <c r="F84" s="6">
        <v>18</v>
      </c>
      <c r="G84" s="6">
        <v>61</v>
      </c>
      <c r="H84" s="4">
        <f t="shared" si="10"/>
        <v>225</v>
      </c>
      <c r="J84" s="5" t="s">
        <v>20</v>
      </c>
      <c r="K84" s="6" t="s">
        <v>21</v>
      </c>
      <c r="L84" s="6">
        <v>43</v>
      </c>
      <c r="M84" s="44">
        <v>70</v>
      </c>
      <c r="N84" s="44">
        <v>52</v>
      </c>
      <c r="O84" s="6">
        <v>87</v>
      </c>
      <c r="P84" s="6">
        <v>90</v>
      </c>
      <c r="Q84" s="4">
        <f t="shared" si="11"/>
        <v>342</v>
      </c>
    </row>
    <row r="85" spans="1:17" x14ac:dyDescent="0.2">
      <c r="A85" s="2" t="s">
        <v>76</v>
      </c>
      <c r="B85" s="3" t="s">
        <v>77</v>
      </c>
      <c r="C85" s="3">
        <v>80</v>
      </c>
      <c r="D85" s="49">
        <v>61</v>
      </c>
      <c r="E85" s="3">
        <v>85</v>
      </c>
      <c r="F85" s="3">
        <v>49</v>
      </c>
      <c r="G85" s="3">
        <v>68</v>
      </c>
      <c r="H85" s="4">
        <f t="shared" si="10"/>
        <v>343</v>
      </c>
      <c r="J85" s="2" t="s">
        <v>28</v>
      </c>
      <c r="K85" s="3" t="s">
        <v>29</v>
      </c>
      <c r="L85" s="3">
        <v>76</v>
      </c>
      <c r="M85" s="44">
        <v>79</v>
      </c>
      <c r="N85" s="49">
        <v>61</v>
      </c>
      <c r="O85" s="3">
        <v>89</v>
      </c>
      <c r="P85" s="3">
        <v>75</v>
      </c>
      <c r="Q85" s="4">
        <f t="shared" si="11"/>
        <v>380</v>
      </c>
    </row>
    <row r="86" spans="1:17" x14ac:dyDescent="0.2">
      <c r="A86" s="5" t="s">
        <v>84</v>
      </c>
      <c r="B86" s="6" t="s">
        <v>85</v>
      </c>
      <c r="C86" s="6">
        <v>15</v>
      </c>
      <c r="D86" s="6">
        <v>33</v>
      </c>
      <c r="E86" s="49">
        <v>22</v>
      </c>
      <c r="F86" s="44">
        <v>7</v>
      </c>
      <c r="G86" s="6">
        <v>66</v>
      </c>
      <c r="H86" s="4">
        <f t="shared" si="10"/>
        <v>143</v>
      </c>
      <c r="J86" s="5" t="s">
        <v>36</v>
      </c>
      <c r="K86" s="6" t="s">
        <v>37</v>
      </c>
      <c r="L86" s="6">
        <v>8</v>
      </c>
      <c r="M86" s="44">
        <v>9</v>
      </c>
      <c r="N86" s="6">
        <v>63</v>
      </c>
      <c r="O86" s="6">
        <v>28</v>
      </c>
      <c r="P86" s="49">
        <v>22</v>
      </c>
      <c r="Q86" s="4">
        <f t="shared" si="11"/>
        <v>130</v>
      </c>
    </row>
    <row r="87" spans="1:17" x14ac:dyDescent="0.2">
      <c r="A87" s="2" t="s">
        <v>92</v>
      </c>
      <c r="B87" s="3" t="s">
        <v>93</v>
      </c>
      <c r="C87" s="3">
        <v>84</v>
      </c>
      <c r="D87" s="3">
        <v>40</v>
      </c>
      <c r="E87" s="3">
        <v>58</v>
      </c>
      <c r="F87" s="3">
        <v>41</v>
      </c>
      <c r="G87" s="3">
        <v>2</v>
      </c>
      <c r="H87" s="4">
        <f t="shared" si="10"/>
        <v>225</v>
      </c>
      <c r="J87" s="2" t="s">
        <v>44</v>
      </c>
      <c r="K87" s="3" t="s">
        <v>45</v>
      </c>
      <c r="L87" s="3">
        <v>61</v>
      </c>
      <c r="M87" s="3">
        <v>50</v>
      </c>
      <c r="N87" s="44">
        <v>9</v>
      </c>
      <c r="O87" s="42">
        <v>74</v>
      </c>
      <c r="P87" s="44">
        <v>52</v>
      </c>
      <c r="Q87" s="4">
        <f t="shared" si="11"/>
        <v>246</v>
      </c>
    </row>
    <row r="88" spans="1:17" x14ac:dyDescent="0.2">
      <c r="A88" s="5" t="s">
        <v>100</v>
      </c>
      <c r="B88" s="6" t="s">
        <v>101</v>
      </c>
      <c r="C88" s="6">
        <v>18</v>
      </c>
      <c r="D88" s="6">
        <v>62</v>
      </c>
      <c r="E88" s="6">
        <v>76</v>
      </c>
      <c r="F88" s="6">
        <v>65</v>
      </c>
      <c r="G88" s="6">
        <v>43</v>
      </c>
      <c r="H88" s="4">
        <f t="shared" si="10"/>
        <v>264</v>
      </c>
      <c r="J88" s="5" t="s">
        <v>52</v>
      </c>
      <c r="K88" s="6" t="s">
        <v>53</v>
      </c>
      <c r="L88" s="6">
        <v>62</v>
      </c>
      <c r="M88" s="6">
        <v>16</v>
      </c>
      <c r="N88" s="6">
        <v>34</v>
      </c>
      <c r="O88" s="6">
        <v>19</v>
      </c>
      <c r="P88" s="6">
        <v>55</v>
      </c>
      <c r="Q88" s="4">
        <f t="shared" si="11"/>
        <v>186</v>
      </c>
    </row>
    <row r="89" spans="1:17" x14ac:dyDescent="0.2">
      <c r="A89" s="2" t="s">
        <v>108</v>
      </c>
      <c r="B89" s="3" t="s">
        <v>109</v>
      </c>
      <c r="C89" s="3">
        <v>30</v>
      </c>
      <c r="D89" s="3">
        <v>16</v>
      </c>
      <c r="E89" s="3">
        <v>22</v>
      </c>
      <c r="F89" s="3">
        <v>2</v>
      </c>
      <c r="G89" s="3">
        <v>85</v>
      </c>
      <c r="H89" s="4">
        <f t="shared" si="10"/>
        <v>155</v>
      </c>
      <c r="J89" s="2" t="s">
        <v>60</v>
      </c>
      <c r="K89" s="3" t="s">
        <v>61</v>
      </c>
      <c r="L89" s="3">
        <v>86</v>
      </c>
      <c r="M89" s="3">
        <v>40</v>
      </c>
      <c r="N89" s="3">
        <v>88</v>
      </c>
      <c r="O89" s="3">
        <v>27</v>
      </c>
      <c r="P89" s="3">
        <v>74</v>
      </c>
      <c r="Q89" s="4">
        <f t="shared" si="11"/>
        <v>315</v>
      </c>
    </row>
    <row r="90" spans="1:17" x14ac:dyDescent="0.2">
      <c r="A90" s="5" t="s">
        <v>116</v>
      </c>
      <c r="B90" s="6" t="s">
        <v>117</v>
      </c>
      <c r="C90" s="6">
        <v>6</v>
      </c>
      <c r="D90" s="6">
        <v>11</v>
      </c>
      <c r="E90" s="6">
        <v>52</v>
      </c>
      <c r="F90" s="44">
        <v>70</v>
      </c>
      <c r="G90" s="39">
        <v>49</v>
      </c>
      <c r="H90" s="4">
        <f t="shared" si="10"/>
        <v>188</v>
      </c>
      <c r="J90" s="5" t="s">
        <v>68</v>
      </c>
      <c r="K90" s="6" t="s">
        <v>69</v>
      </c>
      <c r="L90" s="44">
        <v>77</v>
      </c>
      <c r="M90" s="6">
        <v>30</v>
      </c>
      <c r="N90" s="6">
        <v>39</v>
      </c>
      <c r="O90" s="6">
        <v>18</v>
      </c>
      <c r="P90" s="6">
        <v>61</v>
      </c>
      <c r="Q90" s="4">
        <f t="shared" si="11"/>
        <v>225</v>
      </c>
    </row>
    <row r="91" spans="1:17" x14ac:dyDescent="0.2">
      <c r="A91" s="2" t="s">
        <v>124</v>
      </c>
      <c r="B91" s="3" t="s">
        <v>125</v>
      </c>
      <c r="C91" s="3">
        <v>38</v>
      </c>
      <c r="D91" s="3">
        <v>17</v>
      </c>
      <c r="E91" s="3">
        <v>3</v>
      </c>
      <c r="F91" s="3">
        <v>74</v>
      </c>
      <c r="G91" s="3">
        <v>39</v>
      </c>
      <c r="H91" s="4">
        <f t="shared" si="10"/>
        <v>171</v>
      </c>
      <c r="J91" s="2" t="s">
        <v>76</v>
      </c>
      <c r="K91" s="3" t="s">
        <v>77</v>
      </c>
      <c r="L91" s="3">
        <v>80</v>
      </c>
      <c r="M91" s="3">
        <v>61</v>
      </c>
      <c r="N91" s="3">
        <v>85</v>
      </c>
      <c r="O91" s="3">
        <v>49</v>
      </c>
      <c r="P91" s="3">
        <v>68</v>
      </c>
      <c r="Q91" s="4">
        <f t="shared" si="11"/>
        <v>343</v>
      </c>
    </row>
    <row r="92" spans="1:17" x14ac:dyDescent="0.2">
      <c r="A92" s="5" t="s">
        <v>132</v>
      </c>
      <c r="B92" s="6" t="s">
        <v>133</v>
      </c>
      <c r="C92" s="6">
        <v>27</v>
      </c>
      <c r="D92" s="6">
        <v>48</v>
      </c>
      <c r="E92" s="42">
        <v>14</v>
      </c>
      <c r="F92" s="6">
        <v>38</v>
      </c>
      <c r="G92" s="39">
        <v>81</v>
      </c>
      <c r="H92" s="4">
        <f t="shared" si="10"/>
        <v>208</v>
      </c>
      <c r="J92" s="5" t="s">
        <v>84</v>
      </c>
      <c r="K92" s="6" t="s">
        <v>85</v>
      </c>
      <c r="L92" s="6">
        <v>15</v>
      </c>
      <c r="M92" s="6">
        <v>33</v>
      </c>
      <c r="N92" s="6">
        <v>22</v>
      </c>
      <c r="O92" s="44">
        <v>7</v>
      </c>
      <c r="P92" s="6">
        <v>66</v>
      </c>
      <c r="Q92" s="4">
        <f t="shared" si="11"/>
        <v>143</v>
      </c>
    </row>
    <row r="93" spans="1:17" x14ac:dyDescent="0.2">
      <c r="A93" s="2" t="s">
        <v>140</v>
      </c>
      <c r="B93" s="3" t="s">
        <v>141</v>
      </c>
      <c r="C93" s="3">
        <v>50</v>
      </c>
      <c r="D93" s="3">
        <v>55</v>
      </c>
      <c r="E93" s="3">
        <v>43</v>
      </c>
      <c r="F93" s="3">
        <v>16</v>
      </c>
      <c r="G93" s="3">
        <v>52</v>
      </c>
      <c r="H93" s="4">
        <f t="shared" si="10"/>
        <v>216</v>
      </c>
      <c r="J93" s="2" t="s">
        <v>92</v>
      </c>
      <c r="K93" s="3" t="s">
        <v>93</v>
      </c>
      <c r="L93" s="3">
        <v>84</v>
      </c>
      <c r="M93" s="3">
        <v>40</v>
      </c>
      <c r="N93" s="3">
        <v>58</v>
      </c>
      <c r="O93" s="3">
        <v>41</v>
      </c>
      <c r="P93" s="3">
        <v>2</v>
      </c>
      <c r="Q93" s="4">
        <f t="shared" si="11"/>
        <v>225</v>
      </c>
    </row>
    <row r="94" spans="1:17" x14ac:dyDescent="0.2">
      <c r="A94" s="5" t="s">
        <v>148</v>
      </c>
      <c r="B94" s="6" t="s">
        <v>149</v>
      </c>
      <c r="C94" s="48">
        <v>22</v>
      </c>
      <c r="D94" s="6">
        <v>39</v>
      </c>
      <c r="E94" s="6">
        <v>44</v>
      </c>
      <c r="F94" s="6">
        <v>47</v>
      </c>
      <c r="G94" s="6">
        <v>15</v>
      </c>
      <c r="H94" s="4">
        <f t="shared" si="10"/>
        <v>167</v>
      </c>
      <c r="J94" s="5" t="s">
        <v>100</v>
      </c>
      <c r="K94" s="6" t="s">
        <v>101</v>
      </c>
      <c r="L94" s="6">
        <v>18</v>
      </c>
      <c r="M94" s="6">
        <v>62</v>
      </c>
      <c r="N94" s="6">
        <v>76</v>
      </c>
      <c r="O94" s="6">
        <v>65</v>
      </c>
      <c r="P94" s="6">
        <v>43</v>
      </c>
      <c r="Q94" s="4">
        <f t="shared" si="11"/>
        <v>264</v>
      </c>
    </row>
    <row r="95" spans="1:17" x14ac:dyDescent="0.2">
      <c r="A95" s="2" t="s">
        <v>156</v>
      </c>
      <c r="B95" s="3" t="s">
        <v>157</v>
      </c>
      <c r="C95" s="3">
        <v>45</v>
      </c>
      <c r="D95" s="44">
        <v>70</v>
      </c>
      <c r="E95" s="50">
        <v>22</v>
      </c>
      <c r="F95" s="39">
        <v>18</v>
      </c>
      <c r="G95" s="3">
        <v>58</v>
      </c>
      <c r="H95" s="4">
        <f t="shared" si="10"/>
        <v>213</v>
      </c>
      <c r="J95" s="2" t="s">
        <v>108</v>
      </c>
      <c r="K95" s="3" t="s">
        <v>109</v>
      </c>
      <c r="L95" s="3">
        <v>30</v>
      </c>
      <c r="M95" s="3">
        <v>16</v>
      </c>
      <c r="N95" s="49">
        <v>22</v>
      </c>
      <c r="O95" s="3">
        <v>2</v>
      </c>
      <c r="P95" s="3">
        <v>85</v>
      </c>
      <c r="Q95" s="4">
        <f t="shared" si="11"/>
        <v>155</v>
      </c>
    </row>
    <row r="96" spans="1:17" x14ac:dyDescent="0.2">
      <c r="A96" s="5" t="s">
        <v>164</v>
      </c>
      <c r="B96" s="6" t="s">
        <v>165</v>
      </c>
      <c r="C96" s="46">
        <v>81</v>
      </c>
      <c r="D96" s="6">
        <v>31</v>
      </c>
      <c r="E96" s="58">
        <v>64</v>
      </c>
      <c r="F96" s="6">
        <v>86</v>
      </c>
      <c r="G96" s="6">
        <v>62</v>
      </c>
      <c r="H96" s="4">
        <f t="shared" si="10"/>
        <v>324</v>
      </c>
      <c r="J96" s="5" t="s">
        <v>116</v>
      </c>
      <c r="K96" s="6" t="s">
        <v>117</v>
      </c>
      <c r="L96" s="6">
        <v>6</v>
      </c>
      <c r="M96" s="6">
        <v>11</v>
      </c>
      <c r="N96" s="6">
        <v>52</v>
      </c>
      <c r="O96" s="44">
        <v>70</v>
      </c>
      <c r="P96" s="39">
        <v>49</v>
      </c>
      <c r="Q96" s="4">
        <f t="shared" si="11"/>
        <v>188</v>
      </c>
    </row>
    <row r="97" spans="1:17" x14ac:dyDescent="0.2">
      <c r="A97" s="2" t="s">
        <v>172</v>
      </c>
      <c r="B97" s="3" t="s">
        <v>173</v>
      </c>
      <c r="C97" s="3">
        <v>58</v>
      </c>
      <c r="D97" s="39">
        <v>59</v>
      </c>
      <c r="E97" s="46">
        <v>81</v>
      </c>
      <c r="F97" s="49">
        <v>3</v>
      </c>
      <c r="G97" s="3">
        <v>76</v>
      </c>
      <c r="H97" s="4">
        <f t="shared" si="10"/>
        <v>277</v>
      </c>
      <c r="J97" s="2" t="s">
        <v>124</v>
      </c>
      <c r="K97" s="3" t="s">
        <v>125</v>
      </c>
      <c r="L97" s="3">
        <v>38</v>
      </c>
      <c r="M97" s="3">
        <v>17</v>
      </c>
      <c r="N97" s="49">
        <v>3</v>
      </c>
      <c r="O97" s="3">
        <v>74</v>
      </c>
      <c r="P97" s="3">
        <v>39</v>
      </c>
      <c r="Q97" s="4">
        <f t="shared" si="11"/>
        <v>171</v>
      </c>
    </row>
    <row r="98" spans="1:17" x14ac:dyDescent="0.2">
      <c r="A98" s="5" t="s">
        <v>180</v>
      </c>
      <c r="B98" s="6" t="s">
        <v>181</v>
      </c>
      <c r="C98" s="6">
        <v>82</v>
      </c>
      <c r="D98" s="6">
        <v>5</v>
      </c>
      <c r="E98" s="6">
        <v>44</v>
      </c>
      <c r="F98" s="42">
        <v>74</v>
      </c>
      <c r="G98" s="6">
        <v>30</v>
      </c>
      <c r="H98" s="4">
        <f t="shared" si="10"/>
        <v>235</v>
      </c>
      <c r="J98" s="5" t="s">
        <v>132</v>
      </c>
      <c r="K98" s="6" t="s">
        <v>133</v>
      </c>
      <c r="L98" s="6">
        <v>27</v>
      </c>
      <c r="M98" s="6">
        <v>48</v>
      </c>
      <c r="N98" s="42">
        <v>14</v>
      </c>
      <c r="O98" s="6">
        <v>38</v>
      </c>
      <c r="P98" s="39">
        <v>81</v>
      </c>
      <c r="Q98" s="4">
        <f t="shared" si="11"/>
        <v>208</v>
      </c>
    </row>
    <row r="99" spans="1:17" x14ac:dyDescent="0.2">
      <c r="A99" s="2" t="s">
        <v>188</v>
      </c>
      <c r="B99" s="3" t="s">
        <v>189</v>
      </c>
      <c r="C99" s="40">
        <v>36</v>
      </c>
      <c r="D99" s="3">
        <v>21</v>
      </c>
      <c r="E99" s="3">
        <v>58</v>
      </c>
      <c r="F99" s="3">
        <v>32</v>
      </c>
      <c r="G99" s="3">
        <v>54</v>
      </c>
      <c r="H99" s="4">
        <f t="shared" si="10"/>
        <v>201</v>
      </c>
      <c r="J99" s="2" t="s">
        <v>140</v>
      </c>
      <c r="K99" s="3" t="s">
        <v>141</v>
      </c>
      <c r="L99" s="3">
        <v>50</v>
      </c>
      <c r="M99" s="3">
        <v>55</v>
      </c>
      <c r="N99" s="3">
        <v>43</v>
      </c>
      <c r="O99" s="3">
        <v>16</v>
      </c>
      <c r="P99" s="3">
        <v>52</v>
      </c>
      <c r="Q99" s="4">
        <f t="shared" si="11"/>
        <v>216</v>
      </c>
    </row>
    <row r="100" spans="1:17" x14ac:dyDescent="0.2">
      <c r="A100" s="5" t="s">
        <v>196</v>
      </c>
      <c r="B100" s="6" t="s">
        <v>197</v>
      </c>
      <c r="C100" s="48">
        <v>66</v>
      </c>
      <c r="D100" s="6">
        <v>2</v>
      </c>
      <c r="E100" s="50">
        <v>47</v>
      </c>
      <c r="F100" s="6">
        <v>48</v>
      </c>
      <c r="G100" s="39">
        <v>37</v>
      </c>
      <c r="H100" s="4">
        <f t="shared" si="10"/>
        <v>200</v>
      </c>
      <c r="J100" s="5" t="s">
        <v>148</v>
      </c>
      <c r="K100" s="6" t="s">
        <v>149</v>
      </c>
      <c r="L100" s="48">
        <v>22</v>
      </c>
      <c r="M100" s="6">
        <v>39</v>
      </c>
      <c r="N100" s="6">
        <v>44</v>
      </c>
      <c r="O100" s="50">
        <v>47</v>
      </c>
      <c r="P100" s="6">
        <v>15</v>
      </c>
      <c r="Q100" s="4">
        <f t="shared" si="11"/>
        <v>167</v>
      </c>
    </row>
    <row r="101" spans="1:17" x14ac:dyDescent="0.2">
      <c r="A101" s="2" t="s">
        <v>204</v>
      </c>
      <c r="B101" s="3" t="s">
        <v>205</v>
      </c>
      <c r="C101" s="48">
        <v>88</v>
      </c>
      <c r="D101" s="3">
        <v>33</v>
      </c>
      <c r="E101" s="50">
        <v>22</v>
      </c>
      <c r="F101" s="3">
        <v>53</v>
      </c>
      <c r="G101" s="3">
        <v>47</v>
      </c>
      <c r="H101" s="4">
        <f t="shared" si="10"/>
        <v>243</v>
      </c>
      <c r="J101" s="2" t="s">
        <v>156</v>
      </c>
      <c r="K101" s="3" t="s">
        <v>157</v>
      </c>
      <c r="L101" s="3">
        <v>45</v>
      </c>
      <c r="M101" s="44">
        <v>70</v>
      </c>
      <c r="N101" s="50">
        <v>22</v>
      </c>
      <c r="O101" s="39">
        <v>18</v>
      </c>
      <c r="P101" s="3">
        <v>58</v>
      </c>
      <c r="Q101" s="4">
        <f t="shared" si="11"/>
        <v>213</v>
      </c>
    </row>
    <row r="102" spans="1:17" x14ac:dyDescent="0.2">
      <c r="A102" s="2" t="s">
        <v>385</v>
      </c>
      <c r="B102" s="36">
        <v>46567</v>
      </c>
      <c r="C102" s="43">
        <v>14</v>
      </c>
      <c r="D102" s="45">
        <v>70</v>
      </c>
      <c r="E102" s="59">
        <v>63</v>
      </c>
      <c r="F102" s="41">
        <v>49</v>
      </c>
      <c r="G102" s="47">
        <v>37</v>
      </c>
      <c r="H102" s="13">
        <f t="shared" si="10"/>
        <v>233</v>
      </c>
      <c r="J102" s="5" t="s">
        <v>164</v>
      </c>
      <c r="K102" s="6" t="s">
        <v>165</v>
      </c>
      <c r="L102" s="46">
        <v>81</v>
      </c>
      <c r="M102" s="6">
        <v>31</v>
      </c>
      <c r="N102" s="6">
        <v>64</v>
      </c>
      <c r="O102" s="6">
        <v>86</v>
      </c>
      <c r="P102" s="6">
        <v>62</v>
      </c>
      <c r="Q102" s="4">
        <f t="shared" si="11"/>
        <v>324</v>
      </c>
    </row>
    <row r="103" spans="1:17" x14ac:dyDescent="0.2">
      <c r="C103" s="71"/>
      <c r="D103" s="71"/>
      <c r="E103" s="71"/>
      <c r="F103" s="71"/>
      <c r="G103" s="71"/>
      <c r="H103" s="71"/>
      <c r="J103" s="2" t="s">
        <v>172</v>
      </c>
      <c r="K103" s="3" t="s">
        <v>173</v>
      </c>
      <c r="L103" s="3">
        <v>58</v>
      </c>
      <c r="M103" s="39">
        <v>59</v>
      </c>
      <c r="N103" s="46">
        <v>81</v>
      </c>
      <c r="O103" s="3">
        <v>3</v>
      </c>
      <c r="P103" s="3">
        <v>76</v>
      </c>
      <c r="Q103" s="4">
        <f t="shared" si="11"/>
        <v>277</v>
      </c>
    </row>
    <row r="104" spans="1:17" x14ac:dyDescent="0.2">
      <c r="C104" s="71"/>
      <c r="D104" s="71"/>
      <c r="E104" s="71"/>
      <c r="F104" s="71"/>
      <c r="G104" s="71"/>
      <c r="H104" s="71"/>
      <c r="J104" s="5" t="s">
        <v>180</v>
      </c>
      <c r="K104" s="6" t="s">
        <v>181</v>
      </c>
      <c r="L104" s="6">
        <v>82</v>
      </c>
      <c r="M104" s="6">
        <v>5</v>
      </c>
      <c r="N104" s="6">
        <v>44</v>
      </c>
      <c r="O104" s="42">
        <v>74</v>
      </c>
      <c r="P104" s="6">
        <v>30</v>
      </c>
      <c r="Q104" s="4">
        <f t="shared" si="11"/>
        <v>235</v>
      </c>
    </row>
    <row r="105" spans="1:17" x14ac:dyDescent="0.2">
      <c r="J105" s="2" t="s">
        <v>188</v>
      </c>
      <c r="K105" s="3" t="s">
        <v>189</v>
      </c>
      <c r="L105" s="40">
        <v>36</v>
      </c>
      <c r="M105" s="3">
        <v>21</v>
      </c>
      <c r="N105" s="3">
        <v>58</v>
      </c>
      <c r="O105" s="3">
        <v>32</v>
      </c>
      <c r="P105" s="3">
        <v>54</v>
      </c>
      <c r="Q105" s="4">
        <f t="shared" si="11"/>
        <v>201</v>
      </c>
    </row>
    <row r="106" spans="1:17" x14ac:dyDescent="0.2">
      <c r="J106" s="5" t="s">
        <v>196</v>
      </c>
      <c r="K106" s="6" t="s">
        <v>197</v>
      </c>
      <c r="L106" s="48">
        <v>66</v>
      </c>
      <c r="M106" s="6">
        <v>2</v>
      </c>
      <c r="N106" s="6">
        <v>47</v>
      </c>
      <c r="O106" s="6">
        <v>48</v>
      </c>
      <c r="P106" s="39">
        <v>37</v>
      </c>
      <c r="Q106" s="4">
        <f t="shared" si="11"/>
        <v>200</v>
      </c>
    </row>
    <row r="107" spans="1:17" x14ac:dyDescent="0.2">
      <c r="J107" s="2" t="s">
        <v>204</v>
      </c>
      <c r="K107" s="3" t="s">
        <v>205</v>
      </c>
      <c r="L107" s="48">
        <v>88</v>
      </c>
      <c r="M107" s="3">
        <v>33</v>
      </c>
      <c r="N107" s="48">
        <v>22</v>
      </c>
      <c r="O107" s="3">
        <v>53</v>
      </c>
      <c r="P107" s="3">
        <v>47</v>
      </c>
      <c r="Q107" s="4">
        <f t="shared" si="11"/>
        <v>243</v>
      </c>
    </row>
    <row r="108" spans="1:17" x14ac:dyDescent="0.2">
      <c r="J108" s="2" t="s">
        <v>385</v>
      </c>
      <c r="K108" s="36">
        <v>46567</v>
      </c>
      <c r="L108" s="43">
        <v>14</v>
      </c>
      <c r="M108" s="45">
        <v>70</v>
      </c>
      <c r="N108" s="47">
        <v>63</v>
      </c>
      <c r="O108" s="41">
        <v>49</v>
      </c>
      <c r="P108" s="47">
        <v>37</v>
      </c>
      <c r="Q108" s="13">
        <f t="shared" si="11"/>
        <v>233</v>
      </c>
    </row>
    <row r="111" spans="1:17" x14ac:dyDescent="0.2">
      <c r="A111" s="60" t="s">
        <v>148</v>
      </c>
      <c r="B111" s="61" t="s">
        <v>149</v>
      </c>
      <c r="C111" s="50">
        <v>22</v>
      </c>
      <c r="D111" s="61">
        <v>39</v>
      </c>
      <c r="E111" s="61">
        <v>44</v>
      </c>
      <c r="F111" s="69">
        <v>47</v>
      </c>
      <c r="G111" s="61">
        <v>15</v>
      </c>
      <c r="H111" s="62">
        <f t="shared" ref="H111:H119" si="12">SUM(C111:G111)</f>
        <v>167</v>
      </c>
    </row>
    <row r="112" spans="1:17" x14ac:dyDescent="0.2">
      <c r="A112" s="60" t="s">
        <v>156</v>
      </c>
      <c r="B112" s="61" t="s">
        <v>157</v>
      </c>
      <c r="C112" s="61">
        <v>45</v>
      </c>
      <c r="D112" s="61">
        <v>70</v>
      </c>
      <c r="E112" s="50">
        <v>22</v>
      </c>
      <c r="F112" s="61">
        <v>18</v>
      </c>
      <c r="G112" s="61">
        <v>58</v>
      </c>
      <c r="H112" s="62">
        <f t="shared" si="12"/>
        <v>213</v>
      </c>
    </row>
    <row r="113" spans="1:22" x14ac:dyDescent="0.2">
      <c r="A113" s="60" t="s">
        <v>164</v>
      </c>
      <c r="B113" s="61" t="s">
        <v>165</v>
      </c>
      <c r="C113" s="66">
        <v>81</v>
      </c>
      <c r="D113" s="61">
        <v>31</v>
      </c>
      <c r="E113" s="61">
        <v>64</v>
      </c>
      <c r="F113" s="61">
        <v>86</v>
      </c>
      <c r="G113" s="61">
        <v>62</v>
      </c>
      <c r="H113" s="62">
        <f t="shared" si="12"/>
        <v>324</v>
      </c>
    </row>
    <row r="114" spans="1:22" x14ac:dyDescent="0.2">
      <c r="A114" s="60" t="s">
        <v>172</v>
      </c>
      <c r="B114" s="61" t="s">
        <v>173</v>
      </c>
      <c r="C114" s="61">
        <v>58</v>
      </c>
      <c r="D114" s="61">
        <v>59</v>
      </c>
      <c r="E114" s="61">
        <v>81</v>
      </c>
      <c r="F114" s="61">
        <v>3</v>
      </c>
      <c r="G114" s="61">
        <v>76</v>
      </c>
      <c r="H114" s="62">
        <f t="shared" si="12"/>
        <v>277</v>
      </c>
    </row>
    <row r="115" spans="1:22" x14ac:dyDescent="0.2">
      <c r="A115" s="60" t="s">
        <v>180</v>
      </c>
      <c r="B115" s="61" t="s">
        <v>181</v>
      </c>
      <c r="C115" s="61">
        <v>82</v>
      </c>
      <c r="D115" s="61">
        <v>5</v>
      </c>
      <c r="E115" s="61">
        <v>44</v>
      </c>
      <c r="F115" s="69">
        <v>74</v>
      </c>
      <c r="G115" s="61">
        <v>30</v>
      </c>
      <c r="H115" s="62">
        <f t="shared" si="12"/>
        <v>235</v>
      </c>
      <c r="U115">
        <v>36</v>
      </c>
      <c r="V115">
        <v>63</v>
      </c>
    </row>
    <row r="116" spans="1:22" x14ac:dyDescent="0.2">
      <c r="A116" s="60" t="s">
        <v>188</v>
      </c>
      <c r="B116" s="61" t="s">
        <v>189</v>
      </c>
      <c r="C116" s="61">
        <v>36</v>
      </c>
      <c r="D116" s="61">
        <v>21</v>
      </c>
      <c r="E116" s="61">
        <v>58</v>
      </c>
      <c r="F116" s="61">
        <v>32</v>
      </c>
      <c r="G116" s="61">
        <v>54</v>
      </c>
      <c r="H116" s="62">
        <f t="shared" si="12"/>
        <v>201</v>
      </c>
      <c r="M116">
        <v>35</v>
      </c>
      <c r="N116">
        <v>36</v>
      </c>
      <c r="U116">
        <v>37</v>
      </c>
      <c r="V116">
        <v>64</v>
      </c>
    </row>
    <row r="117" spans="1:22" x14ac:dyDescent="0.2">
      <c r="A117" s="60" t="s">
        <v>196</v>
      </c>
      <c r="B117" s="61" t="s">
        <v>197</v>
      </c>
      <c r="C117" s="50">
        <v>66</v>
      </c>
      <c r="D117" s="61">
        <v>2</v>
      </c>
      <c r="E117" s="69">
        <v>47</v>
      </c>
      <c r="F117" s="69">
        <v>48</v>
      </c>
      <c r="G117" s="61">
        <v>37</v>
      </c>
      <c r="H117" s="62">
        <f t="shared" si="12"/>
        <v>200</v>
      </c>
      <c r="M117">
        <v>36</v>
      </c>
      <c r="N117">
        <v>37</v>
      </c>
    </row>
    <row r="118" spans="1:22" x14ac:dyDescent="0.2">
      <c r="A118" s="60" t="s">
        <v>204</v>
      </c>
      <c r="B118" s="61" t="s">
        <v>205</v>
      </c>
      <c r="C118" s="61">
        <v>88</v>
      </c>
      <c r="D118" s="61">
        <v>33</v>
      </c>
      <c r="E118" s="50">
        <v>22</v>
      </c>
      <c r="F118" s="68">
        <v>53</v>
      </c>
      <c r="G118" s="61">
        <v>47</v>
      </c>
      <c r="H118" s="62">
        <f t="shared" si="12"/>
        <v>243</v>
      </c>
      <c r="M118">
        <v>37</v>
      </c>
      <c r="N118">
        <v>38</v>
      </c>
    </row>
    <row r="119" spans="1:22" x14ac:dyDescent="0.2">
      <c r="A119" s="60" t="s">
        <v>385</v>
      </c>
      <c r="B119" s="63">
        <v>46567</v>
      </c>
      <c r="C119" s="64">
        <v>14</v>
      </c>
      <c r="D119" s="64">
        <v>70</v>
      </c>
      <c r="E119" s="67">
        <v>63</v>
      </c>
      <c r="F119" s="64">
        <v>49</v>
      </c>
      <c r="G119" s="67">
        <v>37</v>
      </c>
      <c r="H119" s="65">
        <f t="shared" si="12"/>
        <v>233</v>
      </c>
    </row>
    <row r="120" spans="1:22" x14ac:dyDescent="0.2">
      <c r="L120">
        <v>35</v>
      </c>
      <c r="M120">
        <v>53</v>
      </c>
      <c r="N120">
        <v>8</v>
      </c>
      <c r="O120">
        <v>80</v>
      </c>
      <c r="U120">
        <v>31</v>
      </c>
      <c r="V120">
        <v>76</v>
      </c>
    </row>
    <row r="121" spans="1:22" x14ac:dyDescent="0.2">
      <c r="L121">
        <v>37</v>
      </c>
      <c r="M121">
        <v>73</v>
      </c>
      <c r="N121">
        <v>28</v>
      </c>
      <c r="O121">
        <v>82</v>
      </c>
      <c r="U121">
        <v>49</v>
      </c>
      <c r="V121">
        <v>4</v>
      </c>
    </row>
    <row r="122" spans="1:22" x14ac:dyDescent="0.2">
      <c r="C122" s="70">
        <v>84</v>
      </c>
      <c r="L122">
        <v>36</v>
      </c>
      <c r="M122">
        <v>63</v>
      </c>
      <c r="N122">
        <v>18</v>
      </c>
      <c r="O122">
        <v>81</v>
      </c>
    </row>
    <row r="123" spans="1:22" x14ac:dyDescent="0.2">
      <c r="L123">
        <v>38</v>
      </c>
      <c r="M123">
        <v>83</v>
      </c>
    </row>
  </sheetData>
  <mergeCells count="5">
    <mergeCell ref="A2:H2"/>
    <mergeCell ref="J2:Q2"/>
    <mergeCell ref="S2:Z2"/>
    <mergeCell ref="AB2:AI2"/>
    <mergeCell ref="AR2:AY2"/>
  </mergeCells>
  <conditionalFormatting sqref="H4:H500">
    <cfRule type="cellIs" dxfId="31" priority="9" operator="greaterThanOrEqual">
      <formula>300</formula>
    </cfRule>
    <cfRule type="cellIs" dxfId="30" priority="10" operator="between">
      <formula>250</formula>
      <formula>299</formula>
    </cfRule>
    <cfRule type="cellIs" dxfId="29" priority="11" operator="between">
      <formula>150</formula>
      <formula>249</formula>
    </cfRule>
    <cfRule type="cellIs" dxfId="28" priority="12" operator="lessThan">
      <formula>150</formula>
    </cfRule>
  </conditionalFormatting>
  <conditionalFormatting sqref="Q4:Q500">
    <cfRule type="cellIs" dxfId="27" priority="1" operator="greaterThanOrEqual">
      <formula>300</formula>
    </cfRule>
    <cfRule type="cellIs" dxfId="26" priority="2" operator="between">
      <formula>250</formula>
      <formula>299</formula>
    </cfRule>
    <cfRule type="cellIs" dxfId="25" priority="3" operator="between">
      <formula>150</formula>
      <formula>249</formula>
    </cfRule>
    <cfRule type="cellIs" dxfId="24" priority="4" operator="lessThan">
      <formula>150</formula>
    </cfRule>
  </conditionalFormatting>
  <conditionalFormatting sqref="Z4:Z500">
    <cfRule type="cellIs" dxfId="23" priority="100" operator="lessThan">
      <formula>150</formula>
    </cfRule>
    <cfRule type="cellIs" dxfId="22" priority="99" operator="between">
      <formula>150</formula>
      <formula>249</formula>
    </cfRule>
    <cfRule type="cellIs" dxfId="21" priority="98" operator="between">
      <formula>250</formula>
      <formula>299</formula>
    </cfRule>
    <cfRule type="cellIs" dxfId="20" priority="97" operator="greaterThanOrEqual">
      <formula>300</formula>
    </cfRule>
  </conditionalFormatting>
  <conditionalFormatting sqref="AI4:AI500">
    <cfRule type="cellIs" dxfId="19" priority="104" operator="lessThan">
      <formula>150</formula>
    </cfRule>
    <cfRule type="cellIs" dxfId="18" priority="101" operator="greaterThanOrEqual">
      <formula>300</formula>
    </cfRule>
    <cfRule type="cellIs" dxfId="17" priority="102" operator="between">
      <formula>250</formula>
      <formula>299</formula>
    </cfRule>
    <cfRule type="cellIs" dxfId="16" priority="103" operator="between">
      <formula>150</formula>
      <formula>249</formula>
    </cfRule>
  </conditionalFormatting>
  <conditionalFormatting sqref="AQ4:AQ23">
    <cfRule type="cellIs" dxfId="15" priority="69" operator="greaterThanOrEqual">
      <formula>300</formula>
    </cfRule>
    <cfRule type="cellIs" dxfId="14" priority="70" operator="between">
      <formula>250</formula>
      <formula>299</formula>
    </cfRule>
    <cfRule type="cellIs" dxfId="13" priority="71" operator="between">
      <formula>150</formula>
      <formula>249</formula>
    </cfRule>
    <cfRule type="cellIs" dxfId="12" priority="72" operator="lessThan">
      <formula>150</formula>
    </cfRule>
  </conditionalFormatting>
  <conditionalFormatting sqref="AY4:AY59">
    <cfRule type="cellIs" dxfId="11" priority="16" operator="lessThan">
      <formula>150</formula>
    </cfRule>
    <cfRule type="cellIs" dxfId="10" priority="15" operator="between">
      <formula>150</formula>
      <formula>249</formula>
    </cfRule>
    <cfRule type="cellIs" dxfId="9" priority="14" operator="between">
      <formula>250</formula>
      <formula>299</formula>
    </cfRule>
    <cfRule type="cellIs" dxfId="8" priority="13" operator="greaterThanOrEqual">
      <formula>300</formula>
    </cfRule>
  </conditionalFormatting>
  <conditionalFormatting sqref="BG4:BG23">
    <cfRule type="cellIs" dxfId="7" priority="46" operator="between">
      <formula>250</formula>
      <formula>299</formula>
    </cfRule>
    <cfRule type="cellIs" dxfId="6" priority="47" operator="between">
      <formula>150</formula>
      <formula>249</formula>
    </cfRule>
    <cfRule type="cellIs" dxfId="5" priority="48" operator="lessThan">
      <formula>150</formula>
    </cfRule>
    <cfRule type="cellIs" dxfId="4" priority="45" operator="greaterThanOrEqual">
      <formula>300</formula>
    </cfRule>
  </conditionalFormatting>
  <conditionalFormatting sqref="BG31:BG53">
    <cfRule type="cellIs" dxfId="3" priority="18" operator="between">
      <formula>250</formula>
      <formula>299</formula>
    </cfRule>
    <cfRule type="cellIs" dxfId="2" priority="19" operator="between">
      <formula>150</formula>
      <formula>249</formula>
    </cfRule>
    <cfRule type="cellIs" dxfId="1" priority="20" operator="lessThan">
      <formula>150</formula>
    </cfRule>
    <cfRule type="cellIs" dxfId="0" priority="17" operator="greaterThanOrEqual">
      <formula>300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55"/>
  <sheetViews>
    <sheetView zoomScale="300" zoomScaleNormal="300" workbookViewId="0">
      <pane xSplit="9" ySplit="3" topLeftCell="K15" activePane="bottomRight" state="frozen"/>
      <selection pane="topRight"/>
      <selection pane="bottomLeft"/>
      <selection pane="bottomRight" activeCell="B29" sqref="B29:H29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5.5" customWidth="1"/>
    <col min="8" max="8" width="8" customWidth="1"/>
    <col min="9" max="9" width="0.83203125" customWidth="1"/>
    <col min="10" max="10" width="10" customWidth="1"/>
    <col min="11" max="11" width="12" customWidth="1"/>
    <col min="12" max="16" width="5.5" customWidth="1"/>
    <col min="17" max="17" width="8" customWidth="1"/>
    <col min="18" max="18" width="0.83203125" customWidth="1"/>
    <col min="19" max="19" width="10" customWidth="1"/>
    <col min="20" max="20" width="12" customWidth="1"/>
    <col min="21" max="25" width="5.5" customWidth="1"/>
    <col min="26" max="26" width="8" customWidth="1"/>
    <col min="27" max="27" width="0.83203125" customWidth="1"/>
    <col min="28" max="28" width="10" customWidth="1"/>
    <col min="29" max="29" width="12" customWidth="1"/>
    <col min="30" max="34" width="5.5" customWidth="1"/>
    <col min="35" max="35" width="8" customWidth="1"/>
  </cols>
  <sheetData>
    <row r="1" spans="1:43" ht="12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43" ht="24" customHeight="1" x14ac:dyDescent="0.2">
      <c r="A2" s="74" t="s">
        <v>0</v>
      </c>
      <c r="B2" s="75"/>
      <c r="C2" s="75"/>
      <c r="D2" s="75"/>
      <c r="E2" s="75"/>
      <c r="F2" s="75"/>
      <c r="G2" s="75"/>
      <c r="H2" s="75"/>
      <c r="I2" s="9"/>
      <c r="J2" s="74" t="s">
        <v>1</v>
      </c>
      <c r="K2" s="75"/>
      <c r="L2" s="75"/>
      <c r="M2" s="75"/>
      <c r="N2" s="75"/>
      <c r="O2" s="75"/>
      <c r="P2" s="75"/>
      <c r="Q2" s="75"/>
      <c r="R2" s="9"/>
      <c r="S2" s="74" t="s">
        <v>2</v>
      </c>
      <c r="T2" s="75"/>
      <c r="U2" s="75"/>
      <c r="V2" s="75"/>
      <c r="W2" s="75"/>
      <c r="X2" s="75"/>
      <c r="Y2" s="75"/>
      <c r="Z2" s="75"/>
      <c r="AA2" s="9"/>
      <c r="AB2" s="74" t="s">
        <v>3</v>
      </c>
      <c r="AC2" s="75"/>
      <c r="AD2" s="75"/>
      <c r="AE2" s="75"/>
      <c r="AF2" s="75"/>
      <c r="AG2" s="75"/>
      <c r="AH2" s="75"/>
      <c r="AI2" s="75"/>
      <c r="AJ2" s="76" t="s">
        <v>323</v>
      </c>
      <c r="AK2" s="73"/>
      <c r="AL2" s="73"/>
      <c r="AM2" s="73"/>
      <c r="AN2" s="73"/>
      <c r="AO2" s="73"/>
      <c r="AP2" s="73"/>
      <c r="AQ2" s="73"/>
    </row>
    <row r="3" spans="1:43" ht="20" customHeight="1" x14ac:dyDescent="0.2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9"/>
      <c r="J3" s="10" t="s">
        <v>4</v>
      </c>
      <c r="K3" s="10" t="s">
        <v>5</v>
      </c>
      <c r="L3" s="10" t="s">
        <v>6</v>
      </c>
      <c r="M3" s="10" t="s">
        <v>7</v>
      </c>
      <c r="N3" s="10" t="s">
        <v>8</v>
      </c>
      <c r="O3" s="10" t="s">
        <v>9</v>
      </c>
      <c r="P3" s="10" t="s">
        <v>10</v>
      </c>
      <c r="Q3" s="10" t="s">
        <v>11</v>
      </c>
      <c r="R3" s="9"/>
      <c r="S3" s="10" t="s">
        <v>4</v>
      </c>
      <c r="T3" s="10" t="s">
        <v>5</v>
      </c>
      <c r="U3" s="10" t="s">
        <v>6</v>
      </c>
      <c r="V3" s="10" t="s">
        <v>7</v>
      </c>
      <c r="W3" s="10" t="s">
        <v>8</v>
      </c>
      <c r="X3" s="10" t="s">
        <v>9</v>
      </c>
      <c r="Y3" s="10" t="s">
        <v>10</v>
      </c>
      <c r="Z3" s="10" t="s">
        <v>11</v>
      </c>
      <c r="AA3" s="9"/>
      <c r="AB3" s="10" t="s">
        <v>4</v>
      </c>
      <c r="AC3" s="10" t="s">
        <v>5</v>
      </c>
      <c r="AD3" s="10" t="s">
        <v>6</v>
      </c>
      <c r="AE3" s="10" t="s">
        <v>7</v>
      </c>
      <c r="AF3" s="10" t="s">
        <v>8</v>
      </c>
      <c r="AG3" s="10" t="s">
        <v>9</v>
      </c>
      <c r="AH3" s="10" t="s">
        <v>10</v>
      </c>
      <c r="AI3" s="10" t="s">
        <v>11</v>
      </c>
      <c r="AJ3" s="25" t="s">
        <v>324</v>
      </c>
      <c r="AK3" s="25" t="s">
        <v>5</v>
      </c>
      <c r="AL3" s="25" t="s">
        <v>6</v>
      </c>
      <c r="AM3" s="25" t="s">
        <v>7</v>
      </c>
      <c r="AN3" s="25" t="s">
        <v>8</v>
      </c>
      <c r="AO3" s="25" t="s">
        <v>9</v>
      </c>
      <c r="AP3" s="25" t="s">
        <v>10</v>
      </c>
      <c r="AQ3" s="25" t="s">
        <v>11</v>
      </c>
    </row>
    <row r="4" spans="1:43" ht="17" customHeight="1" x14ac:dyDescent="0.2">
      <c r="A4" s="11" t="s">
        <v>12</v>
      </c>
      <c r="B4" s="12" t="s">
        <v>13</v>
      </c>
      <c r="C4" s="12">
        <v>46</v>
      </c>
      <c r="D4" s="12">
        <v>3</v>
      </c>
      <c r="E4" s="12">
        <v>53</v>
      </c>
      <c r="F4" s="12">
        <v>80</v>
      </c>
      <c r="G4" s="12">
        <v>56</v>
      </c>
      <c r="H4" s="13">
        <f t="shared" ref="H4:H29" si="0">SUM(C4:G4)</f>
        <v>238</v>
      </c>
      <c r="I4" s="9"/>
      <c r="J4" s="11" t="s">
        <v>14</v>
      </c>
      <c r="K4" s="12" t="s">
        <v>15</v>
      </c>
      <c r="L4" s="12">
        <v>52</v>
      </c>
      <c r="M4" s="12">
        <v>90</v>
      </c>
      <c r="N4" s="12">
        <v>20</v>
      </c>
      <c r="O4" s="12">
        <v>83</v>
      </c>
      <c r="P4" s="12">
        <v>24</v>
      </c>
      <c r="Q4" s="13">
        <f t="shared" ref="Q4:Q35" si="1">SUM(L4:P4)</f>
        <v>269</v>
      </c>
      <c r="R4" s="9"/>
      <c r="S4" s="11" t="s">
        <v>16</v>
      </c>
      <c r="T4" s="12" t="s">
        <v>17</v>
      </c>
      <c r="U4" s="12">
        <v>83</v>
      </c>
      <c r="V4" s="12">
        <v>39</v>
      </c>
      <c r="W4" s="12">
        <v>45</v>
      </c>
      <c r="X4" s="12">
        <v>53</v>
      </c>
      <c r="Y4" s="12">
        <v>67</v>
      </c>
      <c r="Z4" s="13">
        <f t="shared" ref="Z4:Z35" si="2">SUM(U4:Y4)</f>
        <v>287</v>
      </c>
      <c r="AA4" s="9"/>
      <c r="AB4" s="11" t="s">
        <v>18</v>
      </c>
      <c r="AC4" s="12" t="s">
        <v>19</v>
      </c>
      <c r="AD4" s="12">
        <v>64</v>
      </c>
      <c r="AE4" s="12">
        <v>38</v>
      </c>
      <c r="AF4" s="12">
        <v>46</v>
      </c>
      <c r="AG4" s="12">
        <v>22</v>
      </c>
      <c r="AH4" s="12">
        <v>40</v>
      </c>
      <c r="AI4" s="13">
        <f t="shared" ref="AI4:AI29" si="3">SUM(AD4:AH4)</f>
        <v>210</v>
      </c>
      <c r="AJ4" s="26" t="s">
        <v>325</v>
      </c>
      <c r="AK4" s="27" t="s">
        <v>326</v>
      </c>
      <c r="AL4" s="28">
        <v>30</v>
      </c>
      <c r="AM4" s="28">
        <v>89</v>
      </c>
      <c r="AN4" s="28">
        <v>23</v>
      </c>
      <c r="AO4" s="28">
        <v>36</v>
      </c>
      <c r="AP4" s="28">
        <v>79</v>
      </c>
      <c r="AQ4" s="29">
        <f t="shared" ref="AQ4:AQ33" si="4">SUM(AL4:AP4)</f>
        <v>257</v>
      </c>
    </row>
    <row r="5" spans="1:43" ht="17" customHeight="1" x14ac:dyDescent="0.2">
      <c r="A5" s="14" t="s">
        <v>20</v>
      </c>
      <c r="B5" s="15" t="s">
        <v>21</v>
      </c>
      <c r="C5" s="15">
        <v>43</v>
      </c>
      <c r="D5" s="15">
        <v>70</v>
      </c>
      <c r="E5" s="15">
        <v>52</v>
      </c>
      <c r="F5" s="15">
        <v>87</v>
      </c>
      <c r="G5" s="15">
        <v>90</v>
      </c>
      <c r="H5" s="13">
        <f t="shared" si="0"/>
        <v>342</v>
      </c>
      <c r="I5" s="9"/>
      <c r="J5" s="14" t="s">
        <v>22</v>
      </c>
      <c r="K5" s="15" t="s">
        <v>23</v>
      </c>
      <c r="L5" s="15">
        <v>70</v>
      </c>
      <c r="M5" s="15">
        <v>74</v>
      </c>
      <c r="N5" s="15">
        <v>77</v>
      </c>
      <c r="O5" s="15">
        <v>12</v>
      </c>
      <c r="P5" s="15">
        <v>59</v>
      </c>
      <c r="Q5" s="13">
        <f t="shared" si="1"/>
        <v>292</v>
      </c>
      <c r="R5" s="9"/>
      <c r="S5" s="14" t="s">
        <v>24</v>
      </c>
      <c r="T5" s="15" t="s">
        <v>25</v>
      </c>
      <c r="U5" s="15">
        <v>74</v>
      </c>
      <c r="V5" s="15">
        <v>44</v>
      </c>
      <c r="W5" s="15">
        <v>79</v>
      </c>
      <c r="X5" s="15">
        <v>72</v>
      </c>
      <c r="Y5" s="15">
        <v>32</v>
      </c>
      <c r="Z5" s="13">
        <f t="shared" si="2"/>
        <v>301</v>
      </c>
      <c r="AA5" s="9"/>
      <c r="AB5" s="14" t="s">
        <v>26</v>
      </c>
      <c r="AC5" s="15" t="s">
        <v>27</v>
      </c>
      <c r="AD5" s="15">
        <v>10</v>
      </c>
      <c r="AE5" s="15">
        <v>15</v>
      </c>
      <c r="AF5" s="15">
        <v>58</v>
      </c>
      <c r="AG5" s="15">
        <v>51</v>
      </c>
      <c r="AH5" s="15">
        <v>48</v>
      </c>
      <c r="AI5" s="13">
        <f t="shared" si="3"/>
        <v>182</v>
      </c>
      <c r="AJ5" s="30" t="s">
        <v>327</v>
      </c>
      <c r="AK5" s="31" t="s">
        <v>328</v>
      </c>
      <c r="AL5" s="32">
        <v>51</v>
      </c>
      <c r="AM5" s="32">
        <v>64</v>
      </c>
      <c r="AN5" s="32">
        <v>30</v>
      </c>
      <c r="AO5" s="32">
        <v>9</v>
      </c>
      <c r="AP5" s="32">
        <v>10</v>
      </c>
      <c r="AQ5" s="29">
        <f t="shared" si="4"/>
        <v>164</v>
      </c>
    </row>
    <row r="6" spans="1:43" ht="17" customHeight="1" x14ac:dyDescent="0.2">
      <c r="A6" s="11" t="s">
        <v>28</v>
      </c>
      <c r="B6" s="12" t="s">
        <v>29</v>
      </c>
      <c r="C6" s="12">
        <v>76</v>
      </c>
      <c r="D6" s="12">
        <v>79</v>
      </c>
      <c r="E6" s="12">
        <v>61</v>
      </c>
      <c r="F6" s="12">
        <v>89</v>
      </c>
      <c r="G6" s="12">
        <v>75</v>
      </c>
      <c r="H6" s="13">
        <f t="shared" si="0"/>
        <v>380</v>
      </c>
      <c r="I6" s="9"/>
      <c r="J6" s="11" t="s">
        <v>30</v>
      </c>
      <c r="K6" s="12" t="s">
        <v>31</v>
      </c>
      <c r="L6" s="12">
        <v>37</v>
      </c>
      <c r="M6" s="12">
        <v>41</v>
      </c>
      <c r="N6" s="12">
        <v>88</v>
      </c>
      <c r="O6" s="12">
        <v>15</v>
      </c>
      <c r="P6" s="12">
        <v>27</v>
      </c>
      <c r="Q6" s="13">
        <f t="shared" si="1"/>
        <v>208</v>
      </c>
      <c r="R6" s="9"/>
      <c r="S6" s="11" t="s">
        <v>32</v>
      </c>
      <c r="T6" s="12" t="s">
        <v>33</v>
      </c>
      <c r="U6" s="12">
        <v>70</v>
      </c>
      <c r="V6" s="12">
        <v>17</v>
      </c>
      <c r="W6" s="12">
        <v>11</v>
      </c>
      <c r="X6" s="12">
        <v>37</v>
      </c>
      <c r="Y6" s="12">
        <v>60</v>
      </c>
      <c r="Z6" s="13">
        <f t="shared" si="2"/>
        <v>195</v>
      </c>
      <c r="AA6" s="9"/>
      <c r="AB6" s="11" t="s">
        <v>34</v>
      </c>
      <c r="AC6" s="12" t="s">
        <v>35</v>
      </c>
      <c r="AD6" s="12">
        <v>12</v>
      </c>
      <c r="AE6" s="12">
        <v>57</v>
      </c>
      <c r="AF6" s="12">
        <v>63</v>
      </c>
      <c r="AG6" s="12">
        <v>7</v>
      </c>
      <c r="AH6" s="12">
        <v>62</v>
      </c>
      <c r="AI6" s="13">
        <f t="shared" si="3"/>
        <v>201</v>
      </c>
      <c r="AJ6" s="26" t="s">
        <v>329</v>
      </c>
      <c r="AK6" s="27" t="s">
        <v>330</v>
      </c>
      <c r="AL6" s="28">
        <v>13</v>
      </c>
      <c r="AM6" s="28">
        <v>46</v>
      </c>
      <c r="AN6" s="28">
        <v>48</v>
      </c>
      <c r="AO6" s="28">
        <v>89</v>
      </c>
      <c r="AP6" s="28">
        <v>8</v>
      </c>
      <c r="AQ6" s="29">
        <f t="shared" si="4"/>
        <v>204</v>
      </c>
    </row>
    <row r="7" spans="1:43" ht="17" customHeight="1" x14ac:dyDescent="0.2">
      <c r="A7" s="14" t="s">
        <v>36</v>
      </c>
      <c r="B7" s="15" t="s">
        <v>37</v>
      </c>
      <c r="C7" s="15">
        <v>8</v>
      </c>
      <c r="D7" s="15">
        <v>9</v>
      </c>
      <c r="E7" s="38">
        <v>63</v>
      </c>
      <c r="F7" s="15">
        <v>28</v>
      </c>
      <c r="G7" s="15">
        <v>22</v>
      </c>
      <c r="H7" s="13">
        <f t="shared" si="0"/>
        <v>130</v>
      </c>
      <c r="I7" s="9"/>
      <c r="J7" s="14" t="s">
        <v>38</v>
      </c>
      <c r="K7" s="15" t="s">
        <v>39</v>
      </c>
      <c r="L7" s="15">
        <v>11</v>
      </c>
      <c r="M7" s="15">
        <v>50</v>
      </c>
      <c r="N7" s="15">
        <v>1</v>
      </c>
      <c r="O7" s="15">
        <v>37</v>
      </c>
      <c r="P7" s="15">
        <v>88</v>
      </c>
      <c r="Q7" s="13">
        <f t="shared" si="1"/>
        <v>187</v>
      </c>
      <c r="R7" s="9"/>
      <c r="S7" s="14" t="s">
        <v>40</v>
      </c>
      <c r="T7" s="15" t="s">
        <v>41</v>
      </c>
      <c r="U7" s="15">
        <v>38</v>
      </c>
      <c r="V7" s="15">
        <v>17</v>
      </c>
      <c r="W7" s="15">
        <v>61</v>
      </c>
      <c r="X7" s="15">
        <v>47</v>
      </c>
      <c r="Y7" s="15">
        <v>25</v>
      </c>
      <c r="Z7" s="13">
        <f t="shared" si="2"/>
        <v>188</v>
      </c>
      <c r="AA7" s="9"/>
      <c r="AB7" s="14" t="s">
        <v>42</v>
      </c>
      <c r="AC7" s="15" t="s">
        <v>43</v>
      </c>
      <c r="AD7" s="15">
        <v>31</v>
      </c>
      <c r="AE7" s="15">
        <v>79</v>
      </c>
      <c r="AF7" s="15">
        <v>53</v>
      </c>
      <c r="AG7" s="15">
        <v>4</v>
      </c>
      <c r="AH7" s="15">
        <v>84</v>
      </c>
      <c r="AI7" s="13">
        <f t="shared" si="3"/>
        <v>251</v>
      </c>
      <c r="AJ7" s="30" t="s">
        <v>331</v>
      </c>
      <c r="AK7" s="31" t="s">
        <v>332</v>
      </c>
      <c r="AL7" s="32">
        <v>52</v>
      </c>
      <c r="AM7" s="32">
        <v>82</v>
      </c>
      <c r="AN7" s="32">
        <v>21</v>
      </c>
      <c r="AO7" s="32">
        <v>47</v>
      </c>
      <c r="AP7" s="32">
        <v>80</v>
      </c>
      <c r="AQ7" s="29">
        <f t="shared" si="4"/>
        <v>282</v>
      </c>
    </row>
    <row r="8" spans="1:43" ht="17" customHeight="1" x14ac:dyDescent="0.2">
      <c r="A8" s="11" t="s">
        <v>44</v>
      </c>
      <c r="B8" s="12" t="s">
        <v>45</v>
      </c>
      <c r="C8" s="21">
        <v>61</v>
      </c>
      <c r="D8" s="12">
        <v>50</v>
      </c>
      <c r="E8" s="12">
        <v>9</v>
      </c>
      <c r="F8" s="12">
        <v>74</v>
      </c>
      <c r="G8" s="12">
        <v>52</v>
      </c>
      <c r="H8" s="13">
        <f t="shared" si="0"/>
        <v>246</v>
      </c>
      <c r="I8" s="9"/>
      <c r="J8" s="11" t="s">
        <v>46</v>
      </c>
      <c r="K8" s="12" t="s">
        <v>47</v>
      </c>
      <c r="L8" s="12">
        <v>31</v>
      </c>
      <c r="M8" s="12">
        <v>52</v>
      </c>
      <c r="N8" s="12">
        <v>67</v>
      </c>
      <c r="O8" s="12">
        <v>81</v>
      </c>
      <c r="P8" s="12">
        <v>41</v>
      </c>
      <c r="Q8" s="13">
        <f t="shared" si="1"/>
        <v>272</v>
      </c>
      <c r="R8" s="9"/>
      <c r="S8" s="11" t="s">
        <v>48</v>
      </c>
      <c r="T8" s="12" t="s">
        <v>49</v>
      </c>
      <c r="U8" s="12">
        <v>71</v>
      </c>
      <c r="V8" s="12">
        <v>27</v>
      </c>
      <c r="W8" s="12">
        <v>73</v>
      </c>
      <c r="X8" s="12">
        <v>45</v>
      </c>
      <c r="Y8" s="12">
        <v>17</v>
      </c>
      <c r="Z8" s="13">
        <f t="shared" si="2"/>
        <v>233</v>
      </c>
      <c r="AA8" s="9"/>
      <c r="AB8" s="11" t="s">
        <v>50</v>
      </c>
      <c r="AC8" s="12" t="s">
        <v>51</v>
      </c>
      <c r="AD8" s="12">
        <v>69</v>
      </c>
      <c r="AE8" s="12">
        <v>89</v>
      </c>
      <c r="AF8" s="12">
        <v>53</v>
      </c>
      <c r="AG8" s="12">
        <v>11</v>
      </c>
      <c r="AH8" s="12">
        <v>60</v>
      </c>
      <c r="AI8" s="13">
        <f t="shared" si="3"/>
        <v>282</v>
      </c>
      <c r="AJ8" s="26" t="s">
        <v>333</v>
      </c>
      <c r="AK8" s="27" t="s">
        <v>334</v>
      </c>
      <c r="AL8" s="28">
        <v>10</v>
      </c>
      <c r="AM8" s="28">
        <v>43</v>
      </c>
      <c r="AN8" s="28">
        <v>53</v>
      </c>
      <c r="AO8" s="28">
        <v>40</v>
      </c>
      <c r="AP8" s="28">
        <v>42</v>
      </c>
      <c r="AQ8" s="29">
        <f t="shared" si="4"/>
        <v>188</v>
      </c>
    </row>
    <row r="9" spans="1:43" ht="17" customHeight="1" x14ac:dyDescent="0.2">
      <c r="A9" s="14" t="s">
        <v>52</v>
      </c>
      <c r="B9" s="15" t="s">
        <v>53</v>
      </c>
      <c r="C9" s="21">
        <v>62</v>
      </c>
      <c r="D9" s="21">
        <v>16</v>
      </c>
      <c r="E9" s="15">
        <v>34</v>
      </c>
      <c r="F9" s="15">
        <v>19</v>
      </c>
      <c r="G9" s="15">
        <v>55</v>
      </c>
      <c r="H9" s="13">
        <f t="shared" si="0"/>
        <v>186</v>
      </c>
      <c r="I9" s="9"/>
      <c r="J9" s="14" t="s">
        <v>54</v>
      </c>
      <c r="K9" s="15" t="s">
        <v>55</v>
      </c>
      <c r="L9" s="15">
        <v>77</v>
      </c>
      <c r="M9" s="15">
        <v>78</v>
      </c>
      <c r="N9" s="15">
        <v>66</v>
      </c>
      <c r="O9" s="15">
        <v>41</v>
      </c>
      <c r="P9" s="15">
        <v>16</v>
      </c>
      <c r="Q9" s="13">
        <f t="shared" si="1"/>
        <v>278</v>
      </c>
      <c r="R9" s="9"/>
      <c r="S9" s="14" t="s">
        <v>56</v>
      </c>
      <c r="T9" s="15" t="s">
        <v>57</v>
      </c>
      <c r="U9" s="15">
        <v>77</v>
      </c>
      <c r="V9" s="15">
        <v>22</v>
      </c>
      <c r="W9" s="15">
        <v>28</v>
      </c>
      <c r="X9" s="15">
        <v>20</v>
      </c>
      <c r="Y9" s="15">
        <v>18</v>
      </c>
      <c r="Z9" s="13">
        <f t="shared" si="2"/>
        <v>165</v>
      </c>
      <c r="AA9" s="9"/>
      <c r="AB9" s="14" t="s">
        <v>58</v>
      </c>
      <c r="AC9" s="15" t="s">
        <v>59</v>
      </c>
      <c r="AD9" s="15">
        <v>34</v>
      </c>
      <c r="AE9" s="15">
        <v>21</v>
      </c>
      <c r="AF9" s="15">
        <v>24</v>
      </c>
      <c r="AG9" s="15">
        <v>29</v>
      </c>
      <c r="AH9" s="15">
        <v>68</v>
      </c>
      <c r="AI9" s="13">
        <f t="shared" si="3"/>
        <v>176</v>
      </c>
      <c r="AJ9" s="30" t="s">
        <v>335</v>
      </c>
      <c r="AK9" s="31" t="s">
        <v>336</v>
      </c>
      <c r="AL9" s="32">
        <v>63</v>
      </c>
      <c r="AM9" s="32">
        <v>17</v>
      </c>
      <c r="AN9" s="32">
        <v>64</v>
      </c>
      <c r="AO9" s="32">
        <v>5</v>
      </c>
      <c r="AP9" s="32">
        <v>32</v>
      </c>
      <c r="AQ9" s="29">
        <f t="shared" si="4"/>
        <v>181</v>
      </c>
    </row>
    <row r="10" spans="1:43" ht="17" customHeight="1" x14ac:dyDescent="0.2">
      <c r="A10" s="11" t="s">
        <v>60</v>
      </c>
      <c r="B10" s="12" t="s">
        <v>61</v>
      </c>
      <c r="C10" s="12">
        <v>86</v>
      </c>
      <c r="D10" s="12">
        <v>40</v>
      </c>
      <c r="E10" s="12">
        <v>88</v>
      </c>
      <c r="F10" s="12">
        <v>27</v>
      </c>
      <c r="G10" s="12">
        <v>74</v>
      </c>
      <c r="H10" s="13">
        <f t="shared" si="0"/>
        <v>315</v>
      </c>
      <c r="I10" s="9"/>
      <c r="J10" s="11" t="s">
        <v>62</v>
      </c>
      <c r="K10" s="12" t="s">
        <v>63</v>
      </c>
      <c r="L10" s="12">
        <v>57</v>
      </c>
      <c r="M10" s="12">
        <v>40</v>
      </c>
      <c r="N10" s="12">
        <v>38</v>
      </c>
      <c r="O10" s="12">
        <v>72</v>
      </c>
      <c r="P10" s="12">
        <v>84</v>
      </c>
      <c r="Q10" s="13">
        <f t="shared" si="1"/>
        <v>291</v>
      </c>
      <c r="R10" s="9"/>
      <c r="S10" s="11" t="s">
        <v>64</v>
      </c>
      <c r="T10" s="12" t="s">
        <v>65</v>
      </c>
      <c r="U10" s="12">
        <v>44</v>
      </c>
      <c r="V10" s="12">
        <v>8</v>
      </c>
      <c r="W10" s="12">
        <v>34</v>
      </c>
      <c r="X10" s="12">
        <v>63</v>
      </c>
      <c r="Y10" s="12">
        <v>6</v>
      </c>
      <c r="Z10" s="13">
        <f t="shared" si="2"/>
        <v>155</v>
      </c>
      <c r="AA10" s="9"/>
      <c r="AB10" s="11" t="s">
        <v>66</v>
      </c>
      <c r="AC10" s="12" t="s">
        <v>67</v>
      </c>
      <c r="AD10" s="12">
        <v>17</v>
      </c>
      <c r="AE10" s="12">
        <v>51</v>
      </c>
      <c r="AF10" s="12">
        <v>36</v>
      </c>
      <c r="AG10" s="12">
        <v>64</v>
      </c>
      <c r="AH10" s="12">
        <v>53</v>
      </c>
      <c r="AI10" s="13">
        <f t="shared" si="3"/>
        <v>221</v>
      </c>
      <c r="AJ10" s="26" t="s">
        <v>337</v>
      </c>
      <c r="AK10" s="27" t="s">
        <v>338</v>
      </c>
      <c r="AL10" s="28">
        <v>38</v>
      </c>
      <c r="AM10" s="28">
        <v>28</v>
      </c>
      <c r="AN10" s="28">
        <v>49</v>
      </c>
      <c r="AO10" s="28">
        <v>7</v>
      </c>
      <c r="AP10" s="28">
        <v>59</v>
      </c>
      <c r="AQ10" s="29">
        <f t="shared" si="4"/>
        <v>181</v>
      </c>
    </row>
    <row r="11" spans="1:43" ht="17" customHeight="1" x14ac:dyDescent="0.2">
      <c r="A11" s="35" t="s">
        <v>68</v>
      </c>
      <c r="B11" s="15" t="s">
        <v>69</v>
      </c>
      <c r="C11" s="18">
        <v>77</v>
      </c>
      <c r="D11" s="15">
        <v>30</v>
      </c>
      <c r="E11" s="15">
        <v>39</v>
      </c>
      <c r="F11" s="15">
        <v>18</v>
      </c>
      <c r="G11" s="15">
        <v>61</v>
      </c>
      <c r="H11" s="13">
        <f t="shared" si="0"/>
        <v>225</v>
      </c>
      <c r="I11" s="9"/>
      <c r="J11" s="14" t="s">
        <v>70</v>
      </c>
      <c r="K11" s="15" t="s">
        <v>71</v>
      </c>
      <c r="L11" s="15">
        <v>11</v>
      </c>
      <c r="M11" s="15">
        <v>61</v>
      </c>
      <c r="N11" s="15">
        <v>54</v>
      </c>
      <c r="O11" s="15">
        <v>57</v>
      </c>
      <c r="P11" s="15">
        <v>50</v>
      </c>
      <c r="Q11" s="13">
        <f t="shared" si="1"/>
        <v>233</v>
      </c>
      <c r="R11" s="9"/>
      <c r="S11" s="14" t="s">
        <v>72</v>
      </c>
      <c r="T11" s="15" t="s">
        <v>73</v>
      </c>
      <c r="U11" s="15">
        <v>85</v>
      </c>
      <c r="V11" s="15">
        <v>17</v>
      </c>
      <c r="W11" s="15">
        <v>38</v>
      </c>
      <c r="X11" s="15">
        <v>27</v>
      </c>
      <c r="Y11" s="15">
        <v>9</v>
      </c>
      <c r="Z11" s="13">
        <f t="shared" si="2"/>
        <v>176</v>
      </c>
      <c r="AA11" s="9"/>
      <c r="AB11" s="14" t="s">
        <v>74</v>
      </c>
      <c r="AC11" s="15" t="s">
        <v>75</v>
      </c>
      <c r="AD11" s="15">
        <v>25</v>
      </c>
      <c r="AE11" s="15">
        <v>68</v>
      </c>
      <c r="AF11" s="15">
        <v>27</v>
      </c>
      <c r="AG11" s="15">
        <v>34</v>
      </c>
      <c r="AH11" s="15">
        <v>78</v>
      </c>
      <c r="AI11" s="13">
        <f t="shared" si="3"/>
        <v>232</v>
      </c>
      <c r="AJ11" s="30" t="s">
        <v>339</v>
      </c>
      <c r="AK11" s="31" t="s">
        <v>340</v>
      </c>
      <c r="AL11" s="32">
        <v>7</v>
      </c>
      <c r="AM11" s="32">
        <v>15</v>
      </c>
      <c r="AN11" s="32">
        <v>5</v>
      </c>
      <c r="AO11" s="32">
        <v>19</v>
      </c>
      <c r="AP11" s="32">
        <v>67</v>
      </c>
      <c r="AQ11" s="29">
        <f t="shared" si="4"/>
        <v>113</v>
      </c>
    </row>
    <row r="12" spans="1:43" ht="17" customHeight="1" x14ac:dyDescent="0.2">
      <c r="A12" s="35" t="s">
        <v>76</v>
      </c>
      <c r="B12" s="12" t="s">
        <v>77</v>
      </c>
      <c r="C12" s="12">
        <v>80</v>
      </c>
      <c r="D12" s="12">
        <v>61</v>
      </c>
      <c r="E12" s="20">
        <v>85</v>
      </c>
      <c r="F12" s="12">
        <v>49</v>
      </c>
      <c r="G12" s="12">
        <v>68</v>
      </c>
      <c r="H12" s="13">
        <f t="shared" si="0"/>
        <v>343</v>
      </c>
      <c r="I12" s="9"/>
      <c r="J12" s="11" t="s">
        <v>78</v>
      </c>
      <c r="K12" s="12" t="s">
        <v>79</v>
      </c>
      <c r="L12" s="12">
        <v>20</v>
      </c>
      <c r="M12" s="12">
        <v>71</v>
      </c>
      <c r="N12" s="12">
        <v>83</v>
      </c>
      <c r="O12" s="12">
        <v>82</v>
      </c>
      <c r="P12" s="12">
        <v>76</v>
      </c>
      <c r="Q12" s="13">
        <f t="shared" si="1"/>
        <v>332</v>
      </c>
      <c r="R12" s="9"/>
      <c r="S12" s="11" t="s">
        <v>80</v>
      </c>
      <c r="T12" s="12" t="s">
        <v>81</v>
      </c>
      <c r="U12" s="12">
        <v>11</v>
      </c>
      <c r="V12" s="12">
        <v>81</v>
      </c>
      <c r="W12" s="12">
        <v>56</v>
      </c>
      <c r="X12" s="12">
        <v>18</v>
      </c>
      <c r="Y12" s="12">
        <v>4</v>
      </c>
      <c r="Z12" s="13">
        <f t="shared" si="2"/>
        <v>170</v>
      </c>
      <c r="AA12" s="9"/>
      <c r="AB12" s="11" t="s">
        <v>82</v>
      </c>
      <c r="AC12" s="12" t="s">
        <v>83</v>
      </c>
      <c r="AD12" s="12">
        <v>23</v>
      </c>
      <c r="AE12" s="12">
        <v>5</v>
      </c>
      <c r="AF12" s="12">
        <v>65</v>
      </c>
      <c r="AG12" s="12">
        <v>37</v>
      </c>
      <c r="AH12" s="12">
        <v>22</v>
      </c>
      <c r="AI12" s="13">
        <f t="shared" si="3"/>
        <v>152</v>
      </c>
      <c r="AJ12" s="26" t="s">
        <v>341</v>
      </c>
      <c r="AK12" s="27" t="s">
        <v>342</v>
      </c>
      <c r="AL12" s="28">
        <v>25</v>
      </c>
      <c r="AM12" s="28">
        <v>45</v>
      </c>
      <c r="AN12" s="28">
        <v>31</v>
      </c>
      <c r="AO12" s="28">
        <v>28</v>
      </c>
      <c r="AP12" s="28">
        <v>36</v>
      </c>
      <c r="AQ12" s="29">
        <f t="shared" si="4"/>
        <v>165</v>
      </c>
    </row>
    <row r="13" spans="1:43" ht="17" customHeight="1" x14ac:dyDescent="0.2">
      <c r="A13" s="14" t="s">
        <v>84</v>
      </c>
      <c r="B13" s="15" t="s">
        <v>85</v>
      </c>
      <c r="C13" s="15">
        <v>15</v>
      </c>
      <c r="D13" s="19">
        <v>33</v>
      </c>
      <c r="E13" s="19">
        <v>22</v>
      </c>
      <c r="F13" s="15">
        <v>7</v>
      </c>
      <c r="G13" s="15">
        <v>66</v>
      </c>
      <c r="H13" s="13">
        <f t="shared" si="0"/>
        <v>143</v>
      </c>
      <c r="I13" s="9"/>
      <c r="J13" s="14" t="s">
        <v>86</v>
      </c>
      <c r="K13" s="15" t="s">
        <v>87</v>
      </c>
      <c r="L13" s="15">
        <v>50</v>
      </c>
      <c r="M13" s="15">
        <v>74</v>
      </c>
      <c r="N13" s="15">
        <v>61</v>
      </c>
      <c r="O13" s="15">
        <v>69</v>
      </c>
      <c r="P13" s="15">
        <v>18</v>
      </c>
      <c r="Q13" s="13">
        <f t="shared" si="1"/>
        <v>272</v>
      </c>
      <c r="R13" s="9"/>
      <c r="S13" s="14" t="s">
        <v>88</v>
      </c>
      <c r="T13" s="15" t="s">
        <v>89</v>
      </c>
      <c r="U13" s="15">
        <v>27</v>
      </c>
      <c r="V13" s="15">
        <v>20</v>
      </c>
      <c r="W13" s="15">
        <v>37</v>
      </c>
      <c r="X13" s="15">
        <v>14</v>
      </c>
      <c r="Y13" s="15">
        <v>4</v>
      </c>
      <c r="Z13" s="13">
        <f t="shared" si="2"/>
        <v>102</v>
      </c>
      <c r="AA13" s="9"/>
      <c r="AB13" s="14" t="s">
        <v>90</v>
      </c>
      <c r="AC13" s="15" t="s">
        <v>91</v>
      </c>
      <c r="AD13" s="15">
        <v>89</v>
      </c>
      <c r="AE13" s="15">
        <v>45</v>
      </c>
      <c r="AF13" s="15">
        <v>6</v>
      </c>
      <c r="AG13" s="15">
        <v>85</v>
      </c>
      <c r="AH13" s="15">
        <v>10</v>
      </c>
      <c r="AI13" s="13">
        <f t="shared" si="3"/>
        <v>235</v>
      </c>
      <c r="AJ13" s="30" t="s">
        <v>343</v>
      </c>
      <c r="AK13" s="31" t="s">
        <v>344</v>
      </c>
      <c r="AL13" s="32">
        <v>59</v>
      </c>
      <c r="AM13" s="32">
        <v>34</v>
      </c>
      <c r="AN13" s="32">
        <v>52</v>
      </c>
      <c r="AO13" s="32">
        <v>15</v>
      </c>
      <c r="AP13" s="32">
        <v>40</v>
      </c>
      <c r="AQ13" s="29">
        <f t="shared" si="4"/>
        <v>200</v>
      </c>
    </row>
    <row r="14" spans="1:43" ht="17" customHeight="1" x14ac:dyDescent="0.2">
      <c r="A14" s="11" t="s">
        <v>92</v>
      </c>
      <c r="B14" s="12" t="s">
        <v>93</v>
      </c>
      <c r="C14" s="12">
        <v>84</v>
      </c>
      <c r="D14" s="20">
        <v>40</v>
      </c>
      <c r="E14" s="20">
        <v>58</v>
      </c>
      <c r="F14" s="24">
        <v>41</v>
      </c>
      <c r="G14" s="20" t="s">
        <v>322</v>
      </c>
      <c r="H14" s="13">
        <f t="shared" si="0"/>
        <v>223</v>
      </c>
      <c r="I14" s="9"/>
      <c r="J14" s="11" t="s">
        <v>94</v>
      </c>
      <c r="K14" s="12" t="s">
        <v>95</v>
      </c>
      <c r="L14" s="12">
        <v>55</v>
      </c>
      <c r="M14" s="12">
        <v>62</v>
      </c>
      <c r="N14" s="12">
        <v>80</v>
      </c>
      <c r="O14" s="12">
        <v>35</v>
      </c>
      <c r="P14" s="12">
        <v>6</v>
      </c>
      <c r="Q14" s="13">
        <f t="shared" si="1"/>
        <v>238</v>
      </c>
      <c r="R14" s="9"/>
      <c r="S14" s="11" t="s">
        <v>96</v>
      </c>
      <c r="T14" s="12" t="s">
        <v>97</v>
      </c>
      <c r="U14" s="12">
        <v>8</v>
      </c>
      <c r="V14" s="12">
        <v>62</v>
      </c>
      <c r="W14" s="12">
        <v>66</v>
      </c>
      <c r="X14" s="12">
        <v>33</v>
      </c>
      <c r="Y14" s="12">
        <v>45</v>
      </c>
      <c r="Z14" s="13">
        <f t="shared" si="2"/>
        <v>214</v>
      </c>
      <c r="AA14" s="9"/>
      <c r="AB14" s="11" t="s">
        <v>98</v>
      </c>
      <c r="AC14" s="12" t="s">
        <v>99</v>
      </c>
      <c r="AD14" s="12">
        <v>43</v>
      </c>
      <c r="AE14" s="12">
        <v>60</v>
      </c>
      <c r="AF14" s="12">
        <v>63</v>
      </c>
      <c r="AG14" s="12">
        <v>33</v>
      </c>
      <c r="AH14" s="12">
        <v>20</v>
      </c>
      <c r="AI14" s="13">
        <f t="shared" si="3"/>
        <v>219</v>
      </c>
      <c r="AJ14" s="26" t="s">
        <v>345</v>
      </c>
      <c r="AK14" s="27" t="s">
        <v>346</v>
      </c>
      <c r="AL14" s="28">
        <v>29</v>
      </c>
      <c r="AM14" s="28">
        <v>4</v>
      </c>
      <c r="AN14" s="28">
        <v>65</v>
      </c>
      <c r="AO14" s="28">
        <v>33</v>
      </c>
      <c r="AP14" s="28">
        <v>80</v>
      </c>
      <c r="AQ14" s="29">
        <f t="shared" si="4"/>
        <v>211</v>
      </c>
    </row>
    <row r="15" spans="1:43" ht="17" customHeight="1" x14ac:dyDescent="0.2">
      <c r="A15" s="14" t="s">
        <v>100</v>
      </c>
      <c r="B15" s="15" t="s">
        <v>101</v>
      </c>
      <c r="C15" s="15">
        <v>18</v>
      </c>
      <c r="D15" s="22">
        <v>62</v>
      </c>
      <c r="E15" s="15">
        <v>76</v>
      </c>
      <c r="F15" s="15">
        <v>65</v>
      </c>
      <c r="G15" s="15">
        <v>43</v>
      </c>
      <c r="H15" s="13">
        <f t="shared" si="0"/>
        <v>264</v>
      </c>
      <c r="I15" s="9"/>
      <c r="J15" s="14" t="s">
        <v>102</v>
      </c>
      <c r="K15" s="15" t="s">
        <v>103</v>
      </c>
      <c r="L15" s="15">
        <v>24</v>
      </c>
      <c r="M15" s="15">
        <v>37</v>
      </c>
      <c r="N15" s="15">
        <v>76</v>
      </c>
      <c r="O15" s="15">
        <v>60</v>
      </c>
      <c r="P15" s="15">
        <v>59</v>
      </c>
      <c r="Q15" s="13">
        <f t="shared" si="1"/>
        <v>256</v>
      </c>
      <c r="R15" s="9"/>
      <c r="S15" s="14" t="s">
        <v>104</v>
      </c>
      <c r="T15" s="15" t="s">
        <v>105</v>
      </c>
      <c r="U15" s="15">
        <v>29</v>
      </c>
      <c r="V15" s="15">
        <v>46</v>
      </c>
      <c r="W15" s="15">
        <v>28</v>
      </c>
      <c r="X15" s="15">
        <v>73</v>
      </c>
      <c r="Y15" s="15">
        <v>21</v>
      </c>
      <c r="Z15" s="13">
        <f t="shared" si="2"/>
        <v>197</v>
      </c>
      <c r="AA15" s="9"/>
      <c r="AB15" s="14" t="s">
        <v>106</v>
      </c>
      <c r="AC15" s="15" t="s">
        <v>107</v>
      </c>
      <c r="AD15" s="15">
        <v>16</v>
      </c>
      <c r="AE15" s="15">
        <v>55</v>
      </c>
      <c r="AF15" s="15">
        <v>88</v>
      </c>
      <c r="AG15" s="15">
        <v>41</v>
      </c>
      <c r="AH15" s="15">
        <v>58</v>
      </c>
      <c r="AI15" s="13">
        <f t="shared" si="3"/>
        <v>258</v>
      </c>
      <c r="AJ15" s="30" t="s">
        <v>347</v>
      </c>
      <c r="AK15" s="31" t="s">
        <v>348</v>
      </c>
      <c r="AL15" s="32">
        <v>12</v>
      </c>
      <c r="AM15" s="32">
        <v>83</v>
      </c>
      <c r="AN15" s="32">
        <v>17</v>
      </c>
      <c r="AO15" s="32">
        <v>31</v>
      </c>
      <c r="AP15" s="32">
        <v>51</v>
      </c>
      <c r="AQ15" s="29">
        <f t="shared" si="4"/>
        <v>194</v>
      </c>
    </row>
    <row r="16" spans="1:43" ht="17" customHeight="1" x14ac:dyDescent="0.2">
      <c r="A16" s="11" t="s">
        <v>108</v>
      </c>
      <c r="B16" s="12" t="s">
        <v>109</v>
      </c>
      <c r="C16" s="12">
        <v>30</v>
      </c>
      <c r="D16" s="22">
        <v>16</v>
      </c>
      <c r="E16" s="23">
        <v>22</v>
      </c>
      <c r="F16" s="12">
        <v>2</v>
      </c>
      <c r="G16" s="12">
        <v>85</v>
      </c>
      <c r="H16" s="13">
        <f t="shared" si="0"/>
        <v>155</v>
      </c>
      <c r="I16" s="9"/>
      <c r="J16" s="11" t="s">
        <v>110</v>
      </c>
      <c r="K16" s="12" t="s">
        <v>111</v>
      </c>
      <c r="L16" s="12">
        <v>61</v>
      </c>
      <c r="M16" s="12">
        <v>22</v>
      </c>
      <c r="N16" s="12">
        <v>55</v>
      </c>
      <c r="O16" s="12">
        <v>37</v>
      </c>
      <c r="P16" s="12">
        <v>48</v>
      </c>
      <c r="Q16" s="13">
        <f t="shared" si="1"/>
        <v>223</v>
      </c>
      <c r="R16" s="9"/>
      <c r="S16" s="11" t="s">
        <v>112</v>
      </c>
      <c r="T16" s="12" t="s">
        <v>113</v>
      </c>
      <c r="U16" s="12">
        <v>88</v>
      </c>
      <c r="V16" s="12">
        <v>71</v>
      </c>
      <c r="W16" s="12">
        <v>13</v>
      </c>
      <c r="X16" s="12">
        <v>25</v>
      </c>
      <c r="Y16" s="12">
        <v>4</v>
      </c>
      <c r="Z16" s="13">
        <f t="shared" si="2"/>
        <v>201</v>
      </c>
      <c r="AA16" s="9"/>
      <c r="AB16" s="11" t="s">
        <v>114</v>
      </c>
      <c r="AC16" s="12" t="s">
        <v>115</v>
      </c>
      <c r="AD16" s="12">
        <v>81</v>
      </c>
      <c r="AE16" s="12">
        <v>70</v>
      </c>
      <c r="AF16" s="12">
        <v>39</v>
      </c>
      <c r="AG16" s="12">
        <v>48</v>
      </c>
      <c r="AH16" s="12">
        <v>42</v>
      </c>
      <c r="AI16" s="13">
        <f t="shared" si="3"/>
        <v>280</v>
      </c>
      <c r="AJ16" s="26" t="s">
        <v>349</v>
      </c>
      <c r="AK16" s="27" t="s">
        <v>350</v>
      </c>
      <c r="AL16" s="28">
        <v>14</v>
      </c>
      <c r="AM16" s="28">
        <v>16</v>
      </c>
      <c r="AN16" s="28">
        <v>78</v>
      </c>
      <c r="AO16" s="28">
        <v>57</v>
      </c>
      <c r="AP16" s="28">
        <v>37</v>
      </c>
      <c r="AQ16" s="29">
        <f t="shared" si="4"/>
        <v>202</v>
      </c>
    </row>
    <row r="17" spans="1:43" ht="17" customHeight="1" x14ac:dyDescent="0.2">
      <c r="A17" s="14" t="s">
        <v>116</v>
      </c>
      <c r="B17" s="15" t="s">
        <v>117</v>
      </c>
      <c r="C17" s="15">
        <v>6</v>
      </c>
      <c r="D17" s="24">
        <v>11</v>
      </c>
      <c r="E17" s="15">
        <v>52</v>
      </c>
      <c r="F17" s="15">
        <v>70</v>
      </c>
      <c r="G17" s="15">
        <v>49</v>
      </c>
      <c r="H17" s="13">
        <f t="shared" si="0"/>
        <v>188</v>
      </c>
      <c r="I17" s="9"/>
      <c r="J17" s="14" t="s">
        <v>118</v>
      </c>
      <c r="K17" s="15" t="s">
        <v>119</v>
      </c>
      <c r="L17" s="15">
        <v>39</v>
      </c>
      <c r="M17" s="15">
        <v>27</v>
      </c>
      <c r="N17" s="15">
        <v>83</v>
      </c>
      <c r="O17" s="15">
        <v>70</v>
      </c>
      <c r="P17" s="15">
        <v>17</v>
      </c>
      <c r="Q17" s="13">
        <f t="shared" si="1"/>
        <v>236</v>
      </c>
      <c r="R17" s="9"/>
      <c r="S17" s="14" t="s">
        <v>120</v>
      </c>
      <c r="T17" s="15" t="s">
        <v>121</v>
      </c>
      <c r="U17" s="15">
        <v>35</v>
      </c>
      <c r="V17" s="15">
        <v>53</v>
      </c>
      <c r="W17" s="15">
        <v>73</v>
      </c>
      <c r="X17" s="15">
        <v>16</v>
      </c>
      <c r="Y17" s="15">
        <v>32</v>
      </c>
      <c r="Z17" s="13">
        <f t="shared" si="2"/>
        <v>209</v>
      </c>
      <c r="AA17" s="9"/>
      <c r="AB17" s="14" t="s">
        <v>122</v>
      </c>
      <c r="AC17" s="15" t="s">
        <v>123</v>
      </c>
      <c r="AD17" s="15">
        <v>38</v>
      </c>
      <c r="AE17" s="15">
        <v>68</v>
      </c>
      <c r="AF17" s="15">
        <v>56</v>
      </c>
      <c r="AG17" s="15">
        <v>62</v>
      </c>
      <c r="AH17" s="15">
        <v>65</v>
      </c>
      <c r="AI17" s="13">
        <f t="shared" si="3"/>
        <v>289</v>
      </c>
      <c r="AJ17" s="30" t="s">
        <v>351</v>
      </c>
      <c r="AK17" s="31" t="s">
        <v>352</v>
      </c>
      <c r="AL17" s="32">
        <v>25</v>
      </c>
      <c r="AM17" s="32">
        <v>57</v>
      </c>
      <c r="AN17" s="32">
        <v>58</v>
      </c>
      <c r="AO17" s="32">
        <v>31</v>
      </c>
      <c r="AP17" s="32">
        <v>43</v>
      </c>
      <c r="AQ17" s="29">
        <f t="shared" si="4"/>
        <v>214</v>
      </c>
    </row>
    <row r="18" spans="1:43" ht="17" customHeight="1" x14ac:dyDescent="0.2">
      <c r="A18" s="11" t="s">
        <v>124</v>
      </c>
      <c r="B18" s="12" t="s">
        <v>125</v>
      </c>
      <c r="C18" s="12">
        <v>38</v>
      </c>
      <c r="D18" s="12">
        <v>17</v>
      </c>
      <c r="E18" s="12">
        <v>3</v>
      </c>
      <c r="F18" s="12">
        <v>74</v>
      </c>
      <c r="G18" s="12">
        <v>39</v>
      </c>
      <c r="H18" s="13">
        <f t="shared" si="0"/>
        <v>171</v>
      </c>
      <c r="I18" s="9"/>
      <c r="J18" s="11" t="s">
        <v>126</v>
      </c>
      <c r="K18" s="12" t="s">
        <v>127</v>
      </c>
      <c r="L18" s="12">
        <v>87</v>
      </c>
      <c r="M18" s="12">
        <v>4</v>
      </c>
      <c r="N18" s="12">
        <v>79</v>
      </c>
      <c r="O18" s="12">
        <v>27</v>
      </c>
      <c r="P18" s="12">
        <v>74</v>
      </c>
      <c r="Q18" s="13">
        <f t="shared" si="1"/>
        <v>271</v>
      </c>
      <c r="R18" s="9"/>
      <c r="S18" s="11" t="s">
        <v>128</v>
      </c>
      <c r="T18" s="12" t="s">
        <v>129</v>
      </c>
      <c r="U18" s="12">
        <v>82</v>
      </c>
      <c r="V18" s="12">
        <v>79</v>
      </c>
      <c r="W18" s="12">
        <v>69</v>
      </c>
      <c r="X18" s="12">
        <v>89</v>
      </c>
      <c r="Y18" s="12">
        <v>61</v>
      </c>
      <c r="Z18" s="13">
        <f t="shared" si="2"/>
        <v>380</v>
      </c>
      <c r="AA18" s="9"/>
      <c r="AB18" s="11" t="s">
        <v>130</v>
      </c>
      <c r="AC18" s="12" t="s">
        <v>131</v>
      </c>
      <c r="AD18" s="12">
        <v>25</v>
      </c>
      <c r="AE18" s="12">
        <v>76</v>
      </c>
      <c r="AF18" s="12">
        <v>73</v>
      </c>
      <c r="AG18" s="12">
        <v>74</v>
      </c>
      <c r="AH18" s="12">
        <v>61</v>
      </c>
      <c r="AI18" s="13">
        <f t="shared" si="3"/>
        <v>309</v>
      </c>
      <c r="AJ18" s="26" t="s">
        <v>353</v>
      </c>
      <c r="AK18" s="27" t="s">
        <v>354</v>
      </c>
      <c r="AL18" s="28">
        <v>71</v>
      </c>
      <c r="AM18" s="28">
        <v>5</v>
      </c>
      <c r="AN18" s="28">
        <v>17</v>
      </c>
      <c r="AO18" s="28">
        <v>54</v>
      </c>
      <c r="AP18" s="28">
        <v>30</v>
      </c>
      <c r="AQ18" s="29">
        <f t="shared" si="4"/>
        <v>177</v>
      </c>
    </row>
    <row r="19" spans="1:43" ht="17" customHeight="1" x14ac:dyDescent="0.2">
      <c r="A19" s="14" t="s">
        <v>132</v>
      </c>
      <c r="B19" s="15" t="s">
        <v>133</v>
      </c>
      <c r="C19" s="15">
        <v>27</v>
      </c>
      <c r="D19" s="15">
        <v>48</v>
      </c>
      <c r="E19" s="38">
        <v>14</v>
      </c>
      <c r="F19" s="15">
        <v>38</v>
      </c>
      <c r="G19" s="34">
        <v>81</v>
      </c>
      <c r="H19" s="13">
        <f t="shared" si="0"/>
        <v>208</v>
      </c>
      <c r="I19" s="9"/>
      <c r="J19" s="14" t="s">
        <v>134</v>
      </c>
      <c r="K19" s="15" t="s">
        <v>135</v>
      </c>
      <c r="L19" s="15">
        <v>41</v>
      </c>
      <c r="M19" s="15">
        <v>6</v>
      </c>
      <c r="N19" s="15">
        <v>36</v>
      </c>
      <c r="O19" s="15">
        <v>19</v>
      </c>
      <c r="P19" s="15">
        <v>47</v>
      </c>
      <c r="Q19" s="13">
        <f t="shared" si="1"/>
        <v>149</v>
      </c>
      <c r="R19" s="9"/>
      <c r="S19" s="14" t="s">
        <v>136</v>
      </c>
      <c r="T19" s="15" t="s">
        <v>137</v>
      </c>
      <c r="U19" s="15">
        <v>87</v>
      </c>
      <c r="V19" s="15">
        <v>21</v>
      </c>
      <c r="W19" s="15">
        <v>12</v>
      </c>
      <c r="X19" s="15">
        <v>3</v>
      </c>
      <c r="Y19" s="15">
        <v>44</v>
      </c>
      <c r="Z19" s="13">
        <f t="shared" si="2"/>
        <v>167</v>
      </c>
      <c r="AA19" s="9"/>
      <c r="AB19" s="14" t="s">
        <v>138</v>
      </c>
      <c r="AC19" s="15" t="s">
        <v>139</v>
      </c>
      <c r="AD19" s="15">
        <v>86</v>
      </c>
      <c r="AE19" s="15">
        <v>39</v>
      </c>
      <c r="AF19" s="15">
        <v>79</v>
      </c>
      <c r="AG19" s="15">
        <v>29</v>
      </c>
      <c r="AH19" s="15">
        <v>77</v>
      </c>
      <c r="AI19" s="13">
        <f t="shared" si="3"/>
        <v>310</v>
      </c>
      <c r="AJ19" s="30" t="s">
        <v>355</v>
      </c>
      <c r="AK19" s="31" t="s">
        <v>356</v>
      </c>
      <c r="AL19" s="32">
        <v>36</v>
      </c>
      <c r="AM19" s="32">
        <v>49</v>
      </c>
      <c r="AN19" s="32">
        <v>19</v>
      </c>
      <c r="AO19" s="32">
        <v>59</v>
      </c>
      <c r="AP19" s="32">
        <v>80</v>
      </c>
      <c r="AQ19" s="29">
        <f t="shared" si="4"/>
        <v>243</v>
      </c>
    </row>
    <row r="20" spans="1:43" ht="17" customHeight="1" x14ac:dyDescent="0.2">
      <c r="A20" s="11" t="s">
        <v>140</v>
      </c>
      <c r="B20" s="12" t="s">
        <v>141</v>
      </c>
      <c r="C20" s="12">
        <v>50</v>
      </c>
      <c r="D20" s="12">
        <v>55</v>
      </c>
      <c r="E20" s="12">
        <v>43</v>
      </c>
      <c r="F20" s="12">
        <v>16</v>
      </c>
      <c r="G20" s="12">
        <v>52</v>
      </c>
      <c r="H20" s="13">
        <f t="shared" si="0"/>
        <v>216</v>
      </c>
      <c r="I20" s="9"/>
      <c r="J20" s="11" t="s">
        <v>142</v>
      </c>
      <c r="K20" s="12" t="s">
        <v>143</v>
      </c>
      <c r="L20" s="12">
        <v>32</v>
      </c>
      <c r="M20" s="12">
        <v>58</v>
      </c>
      <c r="N20" s="12">
        <v>89</v>
      </c>
      <c r="O20" s="12">
        <v>60</v>
      </c>
      <c r="P20" s="12">
        <v>86</v>
      </c>
      <c r="Q20" s="13">
        <f t="shared" si="1"/>
        <v>325</v>
      </c>
      <c r="R20" s="9"/>
      <c r="S20" s="11" t="s">
        <v>144</v>
      </c>
      <c r="T20" s="12" t="s">
        <v>145</v>
      </c>
      <c r="U20" s="12">
        <v>71</v>
      </c>
      <c r="V20" s="12">
        <v>86</v>
      </c>
      <c r="W20" s="12">
        <v>72</v>
      </c>
      <c r="X20" s="12">
        <v>26</v>
      </c>
      <c r="Y20" s="12">
        <v>43</v>
      </c>
      <c r="Z20" s="13">
        <f t="shared" si="2"/>
        <v>298</v>
      </c>
      <c r="AA20" s="9"/>
      <c r="AB20" s="11" t="s">
        <v>146</v>
      </c>
      <c r="AC20" s="12" t="s">
        <v>147</v>
      </c>
      <c r="AD20" s="12">
        <v>57</v>
      </c>
      <c r="AE20" s="12">
        <v>83</v>
      </c>
      <c r="AF20" s="12">
        <v>84</v>
      </c>
      <c r="AG20" s="12">
        <v>15</v>
      </c>
      <c r="AH20" s="12">
        <v>10</v>
      </c>
      <c r="AI20" s="13">
        <f t="shared" si="3"/>
        <v>249</v>
      </c>
      <c r="AJ20" s="26" t="s">
        <v>357</v>
      </c>
      <c r="AK20" s="27" t="s">
        <v>358</v>
      </c>
      <c r="AL20" s="28">
        <v>80</v>
      </c>
      <c r="AM20" s="28">
        <v>37</v>
      </c>
      <c r="AN20" s="28">
        <v>12</v>
      </c>
      <c r="AO20" s="28">
        <v>42</v>
      </c>
      <c r="AP20" s="28">
        <v>79</v>
      </c>
      <c r="AQ20" s="29">
        <f t="shared" si="4"/>
        <v>250</v>
      </c>
    </row>
    <row r="21" spans="1:43" ht="17" customHeight="1" x14ac:dyDescent="0.2">
      <c r="A21" s="14" t="s">
        <v>148</v>
      </c>
      <c r="B21" s="15" t="s">
        <v>149</v>
      </c>
      <c r="C21" s="18">
        <v>22</v>
      </c>
      <c r="D21" s="15">
        <v>39</v>
      </c>
      <c r="E21" s="15">
        <v>44</v>
      </c>
      <c r="F21" s="15">
        <v>47</v>
      </c>
      <c r="G21" s="15">
        <v>15</v>
      </c>
      <c r="H21" s="13">
        <f t="shared" si="0"/>
        <v>167</v>
      </c>
      <c r="I21" s="9"/>
      <c r="J21" s="14" t="s">
        <v>150</v>
      </c>
      <c r="K21" s="15" t="s">
        <v>151</v>
      </c>
      <c r="L21" s="15">
        <v>24</v>
      </c>
      <c r="M21" s="15">
        <v>80</v>
      </c>
      <c r="N21" s="15">
        <v>73</v>
      </c>
      <c r="O21" s="15">
        <v>43</v>
      </c>
      <c r="P21" s="15">
        <v>22</v>
      </c>
      <c r="Q21" s="13">
        <f t="shared" si="1"/>
        <v>242</v>
      </c>
      <c r="R21" s="9"/>
      <c r="S21" s="14" t="s">
        <v>152</v>
      </c>
      <c r="T21" s="15" t="s">
        <v>153</v>
      </c>
      <c r="U21" s="15">
        <v>39</v>
      </c>
      <c r="V21" s="15">
        <v>8</v>
      </c>
      <c r="W21" s="15">
        <v>79</v>
      </c>
      <c r="X21" s="15">
        <v>22</v>
      </c>
      <c r="Y21" s="15">
        <v>56</v>
      </c>
      <c r="Z21" s="13">
        <f t="shared" si="2"/>
        <v>204</v>
      </c>
      <c r="AA21" s="9"/>
      <c r="AB21" s="14" t="s">
        <v>154</v>
      </c>
      <c r="AC21" s="15" t="s">
        <v>155</v>
      </c>
      <c r="AD21" s="15">
        <v>50</v>
      </c>
      <c r="AE21" s="15">
        <v>37</v>
      </c>
      <c r="AF21" s="15">
        <v>27</v>
      </c>
      <c r="AG21" s="15">
        <v>51</v>
      </c>
      <c r="AH21" s="15">
        <v>6</v>
      </c>
      <c r="AI21" s="13">
        <f t="shared" si="3"/>
        <v>171</v>
      </c>
      <c r="AJ21" s="30" t="s">
        <v>359</v>
      </c>
      <c r="AK21" s="31" t="s">
        <v>360</v>
      </c>
      <c r="AL21" s="32">
        <v>70</v>
      </c>
      <c r="AM21" s="32">
        <v>5</v>
      </c>
      <c r="AN21" s="32">
        <v>76</v>
      </c>
      <c r="AO21" s="32">
        <v>55</v>
      </c>
      <c r="AP21" s="32">
        <v>86</v>
      </c>
      <c r="AQ21" s="29">
        <f t="shared" si="4"/>
        <v>292</v>
      </c>
    </row>
    <row r="22" spans="1:43" ht="17" customHeight="1" x14ac:dyDescent="0.2">
      <c r="A22" s="35" t="s">
        <v>156</v>
      </c>
      <c r="B22" s="12" t="s">
        <v>157</v>
      </c>
      <c r="C22" s="12">
        <v>45</v>
      </c>
      <c r="D22" s="38">
        <v>70</v>
      </c>
      <c r="E22" s="19">
        <v>22</v>
      </c>
      <c r="F22" s="12">
        <v>18</v>
      </c>
      <c r="G22" s="12">
        <v>58</v>
      </c>
      <c r="H22" s="13">
        <f t="shared" si="0"/>
        <v>213</v>
      </c>
      <c r="I22" s="9"/>
      <c r="J22" s="11" t="s">
        <v>158</v>
      </c>
      <c r="K22" s="12" t="s">
        <v>159</v>
      </c>
      <c r="L22" s="12">
        <v>12</v>
      </c>
      <c r="M22" s="12">
        <v>16</v>
      </c>
      <c r="N22" s="12">
        <v>31</v>
      </c>
      <c r="O22" s="12">
        <v>87</v>
      </c>
      <c r="P22" s="12">
        <v>44</v>
      </c>
      <c r="Q22" s="13">
        <f t="shared" si="1"/>
        <v>190</v>
      </c>
      <c r="R22" s="9"/>
      <c r="S22" s="11" t="s">
        <v>160</v>
      </c>
      <c r="T22" s="12" t="s">
        <v>161</v>
      </c>
      <c r="U22" s="12">
        <v>60</v>
      </c>
      <c r="V22" s="12">
        <v>12</v>
      </c>
      <c r="W22" s="12">
        <v>30</v>
      </c>
      <c r="X22" s="12">
        <v>37</v>
      </c>
      <c r="Y22" s="12">
        <v>74</v>
      </c>
      <c r="Z22" s="13">
        <f t="shared" si="2"/>
        <v>213</v>
      </c>
      <c r="AA22" s="9"/>
      <c r="AB22" s="11" t="s">
        <v>162</v>
      </c>
      <c r="AC22" s="12" t="s">
        <v>163</v>
      </c>
      <c r="AD22" s="12">
        <v>6</v>
      </c>
      <c r="AE22" s="12">
        <v>25</v>
      </c>
      <c r="AF22" s="12">
        <v>89</v>
      </c>
      <c r="AG22" s="12">
        <v>90</v>
      </c>
      <c r="AH22" s="12">
        <v>32</v>
      </c>
      <c r="AI22" s="13">
        <f t="shared" si="3"/>
        <v>242</v>
      </c>
      <c r="AJ22" s="26" t="s">
        <v>361</v>
      </c>
      <c r="AK22" s="27" t="s">
        <v>362</v>
      </c>
      <c r="AL22" s="28">
        <v>37</v>
      </c>
      <c r="AM22" s="28">
        <v>50</v>
      </c>
      <c r="AN22" s="28">
        <v>27</v>
      </c>
      <c r="AO22" s="28">
        <v>13</v>
      </c>
      <c r="AP22" s="28">
        <v>49</v>
      </c>
      <c r="AQ22" s="29">
        <f t="shared" si="4"/>
        <v>176</v>
      </c>
    </row>
    <row r="23" spans="1:43" ht="17" customHeight="1" x14ac:dyDescent="0.2">
      <c r="A23" s="14" t="s">
        <v>164</v>
      </c>
      <c r="B23" s="15" t="s">
        <v>165</v>
      </c>
      <c r="C23" s="33">
        <v>81</v>
      </c>
      <c r="D23" s="33">
        <v>31</v>
      </c>
      <c r="E23" s="33">
        <v>64</v>
      </c>
      <c r="F23" s="33">
        <v>86</v>
      </c>
      <c r="G23" s="33">
        <v>62</v>
      </c>
      <c r="H23" s="13">
        <f t="shared" si="0"/>
        <v>324</v>
      </c>
      <c r="I23" s="9"/>
      <c r="J23" s="14" t="s">
        <v>166</v>
      </c>
      <c r="K23" s="15" t="s">
        <v>167</v>
      </c>
      <c r="L23" s="15">
        <v>83</v>
      </c>
      <c r="M23" s="15">
        <v>22</v>
      </c>
      <c r="N23" s="15">
        <v>56</v>
      </c>
      <c r="O23" s="15">
        <v>89</v>
      </c>
      <c r="P23" s="15">
        <v>15</v>
      </c>
      <c r="Q23" s="13">
        <f t="shared" si="1"/>
        <v>265</v>
      </c>
      <c r="R23" s="9"/>
      <c r="S23" s="14" t="s">
        <v>168</v>
      </c>
      <c r="T23" s="15" t="s">
        <v>169</v>
      </c>
      <c r="U23" s="15">
        <v>18</v>
      </c>
      <c r="V23" s="15">
        <v>51</v>
      </c>
      <c r="W23" s="15">
        <v>61</v>
      </c>
      <c r="X23" s="15">
        <v>15</v>
      </c>
      <c r="Y23" s="15">
        <v>70</v>
      </c>
      <c r="Z23" s="13">
        <f t="shared" si="2"/>
        <v>215</v>
      </c>
      <c r="AA23" s="9"/>
      <c r="AB23" s="14" t="s">
        <v>170</v>
      </c>
      <c r="AC23" s="15" t="s">
        <v>171</v>
      </c>
      <c r="AD23" s="15">
        <v>23</v>
      </c>
      <c r="AE23" s="15">
        <v>88</v>
      </c>
      <c r="AF23" s="15">
        <v>9</v>
      </c>
      <c r="AG23" s="15">
        <v>39</v>
      </c>
      <c r="AH23" s="15">
        <v>46</v>
      </c>
      <c r="AI23" s="13">
        <f t="shared" si="3"/>
        <v>205</v>
      </c>
      <c r="AJ23" s="30" t="s">
        <v>363</v>
      </c>
      <c r="AK23" s="31" t="s">
        <v>364</v>
      </c>
      <c r="AL23" s="32">
        <v>55</v>
      </c>
      <c r="AM23" s="32">
        <v>86</v>
      </c>
      <c r="AN23" s="32">
        <v>59</v>
      </c>
      <c r="AO23" s="32">
        <v>2</v>
      </c>
      <c r="AP23" s="32">
        <v>64</v>
      </c>
      <c r="AQ23" s="29">
        <f t="shared" si="4"/>
        <v>266</v>
      </c>
    </row>
    <row r="24" spans="1:43" ht="17" customHeight="1" x14ac:dyDescent="0.2">
      <c r="A24" s="11" t="s">
        <v>172</v>
      </c>
      <c r="B24" s="12" t="s">
        <v>173</v>
      </c>
      <c r="C24" s="12">
        <v>58</v>
      </c>
      <c r="D24" s="38">
        <v>59</v>
      </c>
      <c r="E24" s="12">
        <v>81</v>
      </c>
      <c r="F24" s="12">
        <v>3</v>
      </c>
      <c r="G24" s="12">
        <v>76</v>
      </c>
      <c r="H24" s="13">
        <f t="shared" si="0"/>
        <v>277</v>
      </c>
      <c r="I24" s="9"/>
      <c r="J24" s="11" t="s">
        <v>174</v>
      </c>
      <c r="K24" s="12" t="s">
        <v>175</v>
      </c>
      <c r="L24" s="12">
        <v>42</v>
      </c>
      <c r="M24" s="12">
        <v>36</v>
      </c>
      <c r="N24" s="12">
        <v>51</v>
      </c>
      <c r="O24" s="12">
        <v>49</v>
      </c>
      <c r="P24" s="12">
        <v>28</v>
      </c>
      <c r="Q24" s="13">
        <f t="shared" si="1"/>
        <v>206</v>
      </c>
      <c r="R24" s="9"/>
      <c r="S24" s="11" t="s">
        <v>176</v>
      </c>
      <c r="T24" s="12" t="s">
        <v>177</v>
      </c>
      <c r="U24" s="12">
        <v>45</v>
      </c>
      <c r="V24" s="12">
        <v>67</v>
      </c>
      <c r="W24" s="12">
        <v>34</v>
      </c>
      <c r="X24" s="12">
        <v>56</v>
      </c>
      <c r="Y24" s="12">
        <v>50</v>
      </c>
      <c r="Z24" s="13">
        <f t="shared" si="2"/>
        <v>252</v>
      </c>
      <c r="AA24" s="9"/>
      <c r="AB24" s="11" t="s">
        <v>178</v>
      </c>
      <c r="AC24" s="12" t="s">
        <v>179</v>
      </c>
      <c r="AD24" s="12">
        <v>34</v>
      </c>
      <c r="AE24" s="12">
        <v>47</v>
      </c>
      <c r="AF24" s="12">
        <v>80</v>
      </c>
      <c r="AG24" s="12">
        <v>60</v>
      </c>
      <c r="AH24" s="12">
        <v>76</v>
      </c>
      <c r="AI24" s="13">
        <f t="shared" si="3"/>
        <v>297</v>
      </c>
      <c r="AJ24" s="26" t="s">
        <v>365</v>
      </c>
      <c r="AK24" s="27" t="s">
        <v>366</v>
      </c>
      <c r="AL24" s="28">
        <v>8</v>
      </c>
      <c r="AM24" s="28">
        <v>68</v>
      </c>
      <c r="AN24" s="28">
        <v>88</v>
      </c>
      <c r="AO24" s="28">
        <v>63</v>
      </c>
      <c r="AP24" s="28">
        <v>72</v>
      </c>
      <c r="AQ24" s="29">
        <f t="shared" si="4"/>
        <v>299</v>
      </c>
    </row>
    <row r="25" spans="1:43" ht="17" customHeight="1" x14ac:dyDescent="0.2">
      <c r="A25" s="14" t="s">
        <v>180</v>
      </c>
      <c r="B25" s="15" t="s">
        <v>181</v>
      </c>
      <c r="C25" s="34">
        <v>82</v>
      </c>
      <c r="D25" s="15">
        <v>5</v>
      </c>
      <c r="E25" s="15">
        <v>44</v>
      </c>
      <c r="F25" s="15">
        <v>74</v>
      </c>
      <c r="G25" s="15">
        <v>30</v>
      </c>
      <c r="H25" s="13">
        <f t="shared" si="0"/>
        <v>235</v>
      </c>
      <c r="I25" s="9"/>
      <c r="J25" s="14" t="s">
        <v>182</v>
      </c>
      <c r="K25" s="15" t="s">
        <v>183</v>
      </c>
      <c r="L25" s="15">
        <v>3</v>
      </c>
      <c r="M25" s="15">
        <v>46</v>
      </c>
      <c r="N25" s="15">
        <v>81</v>
      </c>
      <c r="O25" s="15">
        <v>63</v>
      </c>
      <c r="P25" s="15">
        <v>48</v>
      </c>
      <c r="Q25" s="13">
        <f t="shared" si="1"/>
        <v>241</v>
      </c>
      <c r="R25" s="9"/>
      <c r="S25" s="14" t="s">
        <v>184</v>
      </c>
      <c r="T25" s="15" t="s">
        <v>185</v>
      </c>
      <c r="U25" s="15">
        <v>55</v>
      </c>
      <c r="V25" s="15">
        <v>84</v>
      </c>
      <c r="W25" s="15">
        <v>54</v>
      </c>
      <c r="X25" s="15">
        <v>5</v>
      </c>
      <c r="Y25" s="15">
        <v>59</v>
      </c>
      <c r="Z25" s="13">
        <f t="shared" si="2"/>
        <v>257</v>
      </c>
      <c r="AA25" s="9"/>
      <c r="AB25" s="14" t="s">
        <v>186</v>
      </c>
      <c r="AC25" s="15" t="s">
        <v>187</v>
      </c>
      <c r="AD25" s="15">
        <v>49</v>
      </c>
      <c r="AE25" s="15">
        <v>87</v>
      </c>
      <c r="AF25" s="15">
        <v>29</v>
      </c>
      <c r="AG25" s="15">
        <v>9</v>
      </c>
      <c r="AH25" s="15">
        <v>27</v>
      </c>
      <c r="AI25" s="13">
        <f t="shared" si="3"/>
        <v>201</v>
      </c>
      <c r="AJ25" s="30" t="s">
        <v>367</v>
      </c>
      <c r="AK25" s="31" t="s">
        <v>368</v>
      </c>
      <c r="AL25" s="32">
        <v>1</v>
      </c>
      <c r="AM25" s="32">
        <v>59</v>
      </c>
      <c r="AN25" s="32">
        <v>37</v>
      </c>
      <c r="AO25" s="32">
        <v>69</v>
      </c>
      <c r="AP25" s="32">
        <v>66</v>
      </c>
      <c r="AQ25" s="29">
        <f t="shared" si="4"/>
        <v>232</v>
      </c>
    </row>
    <row r="26" spans="1:43" ht="17" customHeight="1" x14ac:dyDescent="0.2">
      <c r="A26" s="11" t="s">
        <v>188</v>
      </c>
      <c r="B26" s="12" t="s">
        <v>189</v>
      </c>
      <c r="C26" s="38">
        <v>36</v>
      </c>
      <c r="D26" s="12">
        <v>21</v>
      </c>
      <c r="E26" s="21">
        <v>58</v>
      </c>
      <c r="F26" s="12">
        <v>32</v>
      </c>
      <c r="G26" s="12">
        <v>54</v>
      </c>
      <c r="H26" s="13">
        <f t="shared" si="0"/>
        <v>201</v>
      </c>
      <c r="I26" s="9"/>
      <c r="J26" s="11" t="s">
        <v>190</v>
      </c>
      <c r="K26" s="12" t="s">
        <v>191</v>
      </c>
      <c r="L26" s="12">
        <v>54</v>
      </c>
      <c r="M26" s="12">
        <v>15</v>
      </c>
      <c r="N26" s="12">
        <v>39</v>
      </c>
      <c r="O26" s="12">
        <v>5</v>
      </c>
      <c r="P26" s="12">
        <v>79</v>
      </c>
      <c r="Q26" s="13">
        <f t="shared" si="1"/>
        <v>192</v>
      </c>
      <c r="R26" s="9"/>
      <c r="S26" s="11" t="s">
        <v>192</v>
      </c>
      <c r="T26" s="12" t="s">
        <v>193</v>
      </c>
      <c r="U26" s="12">
        <v>1</v>
      </c>
      <c r="V26" s="12">
        <v>47</v>
      </c>
      <c r="W26" s="12">
        <v>52</v>
      </c>
      <c r="X26" s="12">
        <v>81</v>
      </c>
      <c r="Y26" s="12">
        <v>42</v>
      </c>
      <c r="Z26" s="13">
        <f t="shared" si="2"/>
        <v>223</v>
      </c>
      <c r="AA26" s="9"/>
      <c r="AB26" s="11" t="s">
        <v>194</v>
      </c>
      <c r="AC26" s="12" t="s">
        <v>195</v>
      </c>
      <c r="AD26" s="12">
        <v>67</v>
      </c>
      <c r="AE26" s="12">
        <v>82</v>
      </c>
      <c r="AF26" s="12">
        <v>28</v>
      </c>
      <c r="AG26" s="12">
        <v>74</v>
      </c>
      <c r="AH26" s="12">
        <v>47</v>
      </c>
      <c r="AI26" s="13">
        <f t="shared" si="3"/>
        <v>298</v>
      </c>
      <c r="AJ26" s="26" t="s">
        <v>369</v>
      </c>
      <c r="AK26" s="27" t="s">
        <v>370</v>
      </c>
      <c r="AL26" s="28">
        <v>45</v>
      </c>
      <c r="AM26" s="28">
        <v>60</v>
      </c>
      <c r="AN26" s="28">
        <v>77</v>
      </c>
      <c r="AO26" s="28">
        <v>84</v>
      </c>
      <c r="AP26" s="28">
        <v>39</v>
      </c>
      <c r="AQ26" s="29">
        <f t="shared" si="4"/>
        <v>305</v>
      </c>
    </row>
    <row r="27" spans="1:43" ht="17" customHeight="1" x14ac:dyDescent="0.2">
      <c r="A27" s="14" t="s">
        <v>196</v>
      </c>
      <c r="B27" s="15" t="s">
        <v>197</v>
      </c>
      <c r="C27" s="18">
        <v>66</v>
      </c>
      <c r="D27" s="20">
        <v>2</v>
      </c>
      <c r="E27" s="20">
        <v>47</v>
      </c>
      <c r="F27" s="15">
        <v>48</v>
      </c>
      <c r="G27" s="15">
        <v>37</v>
      </c>
      <c r="H27" s="13">
        <f t="shared" si="0"/>
        <v>200</v>
      </c>
      <c r="I27" s="9"/>
      <c r="J27" s="14" t="s">
        <v>198</v>
      </c>
      <c r="K27" s="15" t="s">
        <v>199</v>
      </c>
      <c r="L27" s="15">
        <v>45</v>
      </c>
      <c r="M27" s="15">
        <v>5</v>
      </c>
      <c r="N27" s="15">
        <v>79</v>
      </c>
      <c r="O27" s="15">
        <v>41</v>
      </c>
      <c r="P27" s="15">
        <v>77</v>
      </c>
      <c r="Q27" s="13">
        <f t="shared" si="1"/>
        <v>247</v>
      </c>
      <c r="R27" s="9"/>
      <c r="S27" s="14" t="s">
        <v>200</v>
      </c>
      <c r="T27" s="15" t="s">
        <v>201</v>
      </c>
      <c r="U27" s="15">
        <v>67</v>
      </c>
      <c r="V27" s="15">
        <v>7</v>
      </c>
      <c r="W27" s="15">
        <v>89</v>
      </c>
      <c r="X27" s="15">
        <v>57</v>
      </c>
      <c r="Y27" s="15">
        <v>27</v>
      </c>
      <c r="Z27" s="13">
        <f t="shared" si="2"/>
        <v>247</v>
      </c>
      <c r="AA27" s="9"/>
      <c r="AB27" s="14" t="s">
        <v>202</v>
      </c>
      <c r="AC27" s="15" t="s">
        <v>203</v>
      </c>
      <c r="AD27" s="15">
        <v>82</v>
      </c>
      <c r="AE27" s="15">
        <v>45</v>
      </c>
      <c r="AF27" s="15">
        <v>14</v>
      </c>
      <c r="AG27" s="15">
        <v>54</v>
      </c>
      <c r="AH27" s="15">
        <v>66</v>
      </c>
      <c r="AI27" s="13">
        <f t="shared" si="3"/>
        <v>261</v>
      </c>
      <c r="AJ27" s="30" t="s">
        <v>371</v>
      </c>
      <c r="AK27" s="31" t="s">
        <v>372</v>
      </c>
      <c r="AL27" s="32">
        <v>71</v>
      </c>
      <c r="AM27" s="32">
        <v>55</v>
      </c>
      <c r="AN27" s="32">
        <v>72</v>
      </c>
      <c r="AO27" s="32">
        <v>57</v>
      </c>
      <c r="AP27" s="32">
        <v>79</v>
      </c>
      <c r="AQ27" s="29">
        <f t="shared" si="4"/>
        <v>334</v>
      </c>
    </row>
    <row r="28" spans="1:43" ht="17" customHeight="1" x14ac:dyDescent="0.2">
      <c r="A28" s="11" t="s">
        <v>204</v>
      </c>
      <c r="B28" s="12" t="s">
        <v>205</v>
      </c>
      <c r="C28" s="12">
        <v>88</v>
      </c>
      <c r="D28" s="19">
        <v>33</v>
      </c>
      <c r="E28" s="19">
        <v>22</v>
      </c>
      <c r="F28" s="12">
        <v>53</v>
      </c>
      <c r="G28" s="12">
        <v>47</v>
      </c>
      <c r="H28" s="13">
        <f t="shared" si="0"/>
        <v>243</v>
      </c>
      <c r="I28" s="9"/>
      <c r="J28" s="11" t="s">
        <v>206</v>
      </c>
      <c r="K28" s="12" t="s">
        <v>207</v>
      </c>
      <c r="L28" s="12">
        <v>20</v>
      </c>
      <c r="M28" s="12">
        <v>79</v>
      </c>
      <c r="N28" s="12">
        <v>67</v>
      </c>
      <c r="O28" s="12">
        <v>77</v>
      </c>
      <c r="P28" s="12">
        <v>88</v>
      </c>
      <c r="Q28" s="13">
        <f t="shared" si="1"/>
        <v>331</v>
      </c>
      <c r="R28" s="9"/>
      <c r="S28" s="11" t="s">
        <v>208</v>
      </c>
      <c r="T28" s="12" t="s">
        <v>209</v>
      </c>
      <c r="U28" s="12">
        <v>69</v>
      </c>
      <c r="V28" s="12">
        <v>81</v>
      </c>
      <c r="W28" s="12">
        <v>62</v>
      </c>
      <c r="X28" s="12">
        <v>37</v>
      </c>
      <c r="Y28" s="12">
        <v>67</v>
      </c>
      <c r="Z28" s="13">
        <f t="shared" si="2"/>
        <v>316</v>
      </c>
      <c r="AA28" s="9"/>
      <c r="AB28" s="11" t="s">
        <v>210</v>
      </c>
      <c r="AC28" s="12" t="s">
        <v>211</v>
      </c>
      <c r="AD28" s="12">
        <v>22</v>
      </c>
      <c r="AE28" s="12">
        <v>40</v>
      </c>
      <c r="AF28" s="12">
        <v>44</v>
      </c>
      <c r="AG28" s="12">
        <v>60</v>
      </c>
      <c r="AH28" s="12">
        <v>11</v>
      </c>
      <c r="AI28" s="13">
        <f t="shared" si="3"/>
        <v>177</v>
      </c>
      <c r="AJ28" s="26" t="s">
        <v>373</v>
      </c>
      <c r="AK28" s="27" t="s">
        <v>374</v>
      </c>
      <c r="AL28" s="28">
        <v>89</v>
      </c>
      <c r="AM28" s="28">
        <v>56</v>
      </c>
      <c r="AN28" s="28">
        <v>18</v>
      </c>
      <c r="AO28" s="28">
        <v>53</v>
      </c>
      <c r="AP28" s="28">
        <v>75</v>
      </c>
      <c r="AQ28" s="29">
        <f t="shared" si="4"/>
        <v>291</v>
      </c>
    </row>
    <row r="29" spans="1:43" ht="17" customHeight="1" x14ac:dyDescent="0.2">
      <c r="A29" s="14" t="s">
        <v>385</v>
      </c>
      <c r="B29" s="36">
        <v>46567</v>
      </c>
      <c r="C29" s="37">
        <v>14</v>
      </c>
      <c r="D29" s="37">
        <v>70</v>
      </c>
      <c r="E29" s="37">
        <v>63</v>
      </c>
      <c r="F29" s="16">
        <v>49</v>
      </c>
      <c r="G29" s="37">
        <v>37</v>
      </c>
      <c r="H29" s="13">
        <f t="shared" si="0"/>
        <v>233</v>
      </c>
      <c r="I29" s="9"/>
      <c r="J29" s="14" t="s">
        <v>212</v>
      </c>
      <c r="K29" s="15" t="s">
        <v>213</v>
      </c>
      <c r="L29" s="15">
        <v>77</v>
      </c>
      <c r="M29" s="15">
        <v>56</v>
      </c>
      <c r="N29" s="15">
        <v>55</v>
      </c>
      <c r="O29" s="15">
        <v>52</v>
      </c>
      <c r="P29" s="15">
        <v>5</v>
      </c>
      <c r="Q29" s="13">
        <f t="shared" si="1"/>
        <v>245</v>
      </c>
      <c r="R29" s="9"/>
      <c r="S29" s="14" t="s">
        <v>214</v>
      </c>
      <c r="T29" s="15" t="s">
        <v>215</v>
      </c>
      <c r="U29" s="15">
        <v>5</v>
      </c>
      <c r="V29" s="15">
        <v>1</v>
      </c>
      <c r="W29" s="15">
        <v>39</v>
      </c>
      <c r="X29" s="15">
        <v>29</v>
      </c>
      <c r="Y29" s="15">
        <v>13</v>
      </c>
      <c r="Z29" s="13">
        <f t="shared" si="2"/>
        <v>87</v>
      </c>
      <c r="AA29" s="9"/>
      <c r="AB29" s="14" t="s">
        <v>216</v>
      </c>
      <c r="AC29" s="15" t="s">
        <v>217</v>
      </c>
      <c r="AD29" s="15">
        <v>85</v>
      </c>
      <c r="AE29" s="15">
        <v>13</v>
      </c>
      <c r="AF29" s="15">
        <v>68</v>
      </c>
      <c r="AG29" s="15">
        <v>74</v>
      </c>
      <c r="AH29" s="15">
        <v>8</v>
      </c>
      <c r="AI29" s="13">
        <f t="shared" si="3"/>
        <v>248</v>
      </c>
      <c r="AJ29" s="30" t="s">
        <v>375</v>
      </c>
      <c r="AK29" s="31" t="s">
        <v>376</v>
      </c>
      <c r="AL29" s="32">
        <v>13</v>
      </c>
      <c r="AM29" s="32">
        <v>33</v>
      </c>
      <c r="AN29" s="32">
        <v>19</v>
      </c>
      <c r="AO29" s="32">
        <v>32</v>
      </c>
      <c r="AP29" s="32">
        <v>39</v>
      </c>
      <c r="AQ29" s="29">
        <f t="shared" si="4"/>
        <v>136</v>
      </c>
    </row>
    <row r="30" spans="1:43" ht="17" customHeight="1" x14ac:dyDescent="0.2">
      <c r="A30" s="11" t="s">
        <v>386</v>
      </c>
      <c r="B30" s="17"/>
      <c r="C30" s="17"/>
      <c r="D30" s="17"/>
      <c r="E30" s="17"/>
      <c r="F30" s="17"/>
      <c r="G30" s="17"/>
      <c r="H30" s="17"/>
      <c r="I30" s="9"/>
      <c r="J30" s="11" t="s">
        <v>218</v>
      </c>
      <c r="K30" s="12" t="s">
        <v>219</v>
      </c>
      <c r="L30" s="12">
        <v>79</v>
      </c>
      <c r="M30" s="12">
        <v>74</v>
      </c>
      <c r="N30" s="12">
        <v>85</v>
      </c>
      <c r="O30" s="12">
        <v>87</v>
      </c>
      <c r="P30" s="12">
        <v>60</v>
      </c>
      <c r="Q30" s="13">
        <f t="shared" si="1"/>
        <v>385</v>
      </c>
      <c r="R30" s="9"/>
      <c r="S30" s="11" t="s">
        <v>220</v>
      </c>
      <c r="T30" s="12" t="s">
        <v>221</v>
      </c>
      <c r="U30" s="12">
        <v>23</v>
      </c>
      <c r="V30" s="12">
        <v>40</v>
      </c>
      <c r="W30" s="12">
        <v>77</v>
      </c>
      <c r="X30" s="12">
        <v>81</v>
      </c>
      <c r="Y30" s="12">
        <v>75</v>
      </c>
      <c r="Z30" s="13">
        <f t="shared" si="2"/>
        <v>296</v>
      </c>
      <c r="AA30" s="9"/>
      <c r="AB30" s="17"/>
      <c r="AC30" s="17"/>
      <c r="AD30" s="17"/>
      <c r="AE30" s="17"/>
      <c r="AF30" s="17"/>
      <c r="AG30" s="17"/>
      <c r="AH30" s="17"/>
      <c r="AI30" s="17"/>
      <c r="AJ30" s="26" t="s">
        <v>377</v>
      </c>
      <c r="AK30" s="27" t="s">
        <v>378</v>
      </c>
      <c r="AL30" s="28">
        <v>85</v>
      </c>
      <c r="AM30" s="28">
        <v>49</v>
      </c>
      <c r="AN30" s="28">
        <v>2</v>
      </c>
      <c r="AO30" s="28">
        <v>20</v>
      </c>
      <c r="AP30" s="28">
        <v>52</v>
      </c>
      <c r="AQ30" s="29">
        <f t="shared" si="4"/>
        <v>208</v>
      </c>
    </row>
    <row r="31" spans="1:43" ht="17" customHeight="1" x14ac:dyDescent="0.2">
      <c r="A31" s="14" t="s">
        <v>387</v>
      </c>
      <c r="B31" s="16"/>
      <c r="C31" s="16"/>
      <c r="D31" s="16"/>
      <c r="E31" s="16"/>
      <c r="F31" s="16"/>
      <c r="G31" s="16"/>
      <c r="H31" s="16"/>
      <c r="I31" s="9"/>
      <c r="J31" s="14" t="s">
        <v>222</v>
      </c>
      <c r="K31" s="15" t="s">
        <v>223</v>
      </c>
      <c r="L31" s="15">
        <v>13</v>
      </c>
      <c r="M31" s="15">
        <v>75</v>
      </c>
      <c r="N31" s="15">
        <v>59</v>
      </c>
      <c r="O31" s="15">
        <v>58</v>
      </c>
      <c r="P31" s="15">
        <v>28</v>
      </c>
      <c r="Q31" s="13">
        <f t="shared" si="1"/>
        <v>233</v>
      </c>
      <c r="R31" s="9"/>
      <c r="S31" s="14" t="s">
        <v>224</v>
      </c>
      <c r="T31" s="15" t="s">
        <v>225</v>
      </c>
      <c r="U31" s="15">
        <v>82</v>
      </c>
      <c r="V31" s="15">
        <v>46</v>
      </c>
      <c r="W31" s="15">
        <v>83</v>
      </c>
      <c r="X31" s="15">
        <v>7</v>
      </c>
      <c r="Y31" s="15">
        <v>47</v>
      </c>
      <c r="Z31" s="13">
        <f t="shared" si="2"/>
        <v>265</v>
      </c>
      <c r="AA31" s="9"/>
      <c r="AB31" s="16"/>
      <c r="AC31" s="16"/>
      <c r="AD31" s="16"/>
      <c r="AE31" s="16"/>
      <c r="AF31" s="16"/>
      <c r="AG31" s="16"/>
      <c r="AH31" s="16"/>
      <c r="AI31" s="16"/>
      <c r="AJ31" s="30" t="s">
        <v>379</v>
      </c>
      <c r="AK31" s="31" t="s">
        <v>380</v>
      </c>
      <c r="AL31" s="32">
        <v>77</v>
      </c>
      <c r="AM31" s="32">
        <v>80</v>
      </c>
      <c r="AN31" s="32">
        <v>88</v>
      </c>
      <c r="AO31" s="32">
        <v>36</v>
      </c>
      <c r="AP31" s="32">
        <v>29</v>
      </c>
      <c r="AQ31" s="29">
        <f t="shared" si="4"/>
        <v>310</v>
      </c>
    </row>
    <row r="32" spans="1:43" ht="17" customHeight="1" x14ac:dyDescent="0.2">
      <c r="A32" s="35" t="s">
        <v>388</v>
      </c>
      <c r="B32" s="17"/>
      <c r="C32" s="17"/>
      <c r="D32" s="17"/>
      <c r="E32" s="17"/>
      <c r="F32" s="17"/>
      <c r="G32" s="17"/>
      <c r="H32" s="17"/>
      <c r="I32" s="9"/>
      <c r="J32" s="11" t="s">
        <v>226</v>
      </c>
      <c r="K32" s="12" t="s">
        <v>227</v>
      </c>
      <c r="L32" s="12">
        <v>64</v>
      </c>
      <c r="M32" s="12">
        <v>82</v>
      </c>
      <c r="N32" s="12">
        <v>77</v>
      </c>
      <c r="O32" s="12">
        <v>26</v>
      </c>
      <c r="P32" s="12">
        <v>29</v>
      </c>
      <c r="Q32" s="13">
        <f t="shared" si="1"/>
        <v>278</v>
      </c>
      <c r="R32" s="9"/>
      <c r="S32" s="11" t="s">
        <v>228</v>
      </c>
      <c r="T32" s="12" t="s">
        <v>229</v>
      </c>
      <c r="U32" s="12">
        <v>89</v>
      </c>
      <c r="V32" s="12">
        <v>33</v>
      </c>
      <c r="W32" s="12">
        <v>31</v>
      </c>
      <c r="X32" s="12">
        <v>88</v>
      </c>
      <c r="Y32" s="12">
        <v>62</v>
      </c>
      <c r="Z32" s="13">
        <f t="shared" si="2"/>
        <v>303</v>
      </c>
      <c r="AA32" s="9"/>
      <c r="AB32" s="17"/>
      <c r="AC32" s="17"/>
      <c r="AD32" s="17"/>
      <c r="AE32" s="17"/>
      <c r="AF32" s="17"/>
      <c r="AG32" s="17"/>
      <c r="AH32" s="17"/>
      <c r="AI32" s="17"/>
      <c r="AJ32" s="26" t="s">
        <v>381</v>
      </c>
      <c r="AK32" s="27" t="s">
        <v>382</v>
      </c>
      <c r="AL32" s="28">
        <v>48</v>
      </c>
      <c r="AM32" s="28">
        <v>2</v>
      </c>
      <c r="AN32" s="28">
        <v>79</v>
      </c>
      <c r="AO32" s="28">
        <v>3</v>
      </c>
      <c r="AP32" s="28">
        <v>43</v>
      </c>
      <c r="AQ32" s="29">
        <f t="shared" si="4"/>
        <v>175</v>
      </c>
    </row>
    <row r="33" spans="1:43" ht="17" customHeight="1" x14ac:dyDescent="0.2">
      <c r="A33" s="16"/>
      <c r="B33" s="16"/>
      <c r="C33" s="16"/>
      <c r="D33" s="16"/>
      <c r="E33" s="16"/>
      <c r="F33" s="16"/>
      <c r="G33" s="16"/>
      <c r="H33" s="16"/>
      <c r="I33" s="9"/>
      <c r="J33" s="14" t="s">
        <v>230</v>
      </c>
      <c r="K33" s="15" t="s">
        <v>231</v>
      </c>
      <c r="L33" s="15">
        <v>22</v>
      </c>
      <c r="M33" s="15">
        <v>35</v>
      </c>
      <c r="N33" s="15">
        <v>30</v>
      </c>
      <c r="O33" s="15">
        <v>47</v>
      </c>
      <c r="P33" s="15">
        <v>39</v>
      </c>
      <c r="Q33" s="13">
        <f t="shared" si="1"/>
        <v>173</v>
      </c>
      <c r="R33" s="9"/>
      <c r="S33" s="14" t="s">
        <v>232</v>
      </c>
      <c r="T33" s="15" t="s">
        <v>233</v>
      </c>
      <c r="U33" s="15">
        <v>6</v>
      </c>
      <c r="V33" s="15">
        <v>82</v>
      </c>
      <c r="W33" s="15">
        <v>27</v>
      </c>
      <c r="X33" s="15">
        <v>3</v>
      </c>
      <c r="Y33" s="15">
        <v>81</v>
      </c>
      <c r="Z33" s="13">
        <f t="shared" si="2"/>
        <v>199</v>
      </c>
      <c r="AA33" s="9"/>
      <c r="AB33" s="16"/>
      <c r="AC33" s="16"/>
      <c r="AD33" s="16"/>
      <c r="AE33" s="16"/>
      <c r="AF33" s="16"/>
      <c r="AG33" s="16"/>
      <c r="AH33" s="16"/>
      <c r="AI33" s="16"/>
      <c r="AJ33" s="30" t="s">
        <v>383</v>
      </c>
      <c r="AK33" s="31" t="s">
        <v>384</v>
      </c>
      <c r="AL33" s="32">
        <v>41</v>
      </c>
      <c r="AM33" s="32">
        <v>57</v>
      </c>
      <c r="AN33" s="32">
        <v>62</v>
      </c>
      <c r="AO33" s="32">
        <v>90</v>
      </c>
      <c r="AP33" s="32">
        <v>87</v>
      </c>
      <c r="AQ33" s="29">
        <f t="shared" si="4"/>
        <v>337</v>
      </c>
    </row>
    <row r="34" spans="1:43" ht="17" customHeight="1" x14ac:dyDescent="0.2">
      <c r="A34" s="17"/>
      <c r="B34" s="17"/>
      <c r="C34" s="17"/>
      <c r="D34" s="17"/>
      <c r="E34" s="17"/>
      <c r="F34" s="17"/>
      <c r="G34" s="17"/>
      <c r="H34" s="17"/>
      <c r="I34" s="9"/>
      <c r="J34" s="11" t="s">
        <v>234</v>
      </c>
      <c r="K34" s="12" t="s">
        <v>235</v>
      </c>
      <c r="L34" s="12">
        <v>77</v>
      </c>
      <c r="M34" s="12">
        <v>22</v>
      </c>
      <c r="N34" s="12">
        <v>67</v>
      </c>
      <c r="O34" s="12">
        <v>75</v>
      </c>
      <c r="P34" s="12">
        <v>19</v>
      </c>
      <c r="Q34" s="13">
        <f t="shared" si="1"/>
        <v>260</v>
      </c>
      <c r="R34" s="9"/>
      <c r="S34" s="11" t="s">
        <v>236</v>
      </c>
      <c r="T34" s="12" t="s">
        <v>237</v>
      </c>
      <c r="U34" s="12">
        <v>2</v>
      </c>
      <c r="V34" s="12">
        <v>32</v>
      </c>
      <c r="W34" s="12">
        <v>24</v>
      </c>
      <c r="X34" s="12">
        <v>14</v>
      </c>
      <c r="Y34" s="12">
        <v>1</v>
      </c>
      <c r="Z34" s="13">
        <f t="shared" si="2"/>
        <v>73</v>
      </c>
      <c r="AA34" s="9"/>
      <c r="AB34" s="17"/>
      <c r="AC34" s="17"/>
      <c r="AD34" s="17"/>
      <c r="AE34" s="17"/>
      <c r="AF34" s="17"/>
      <c r="AG34" s="17"/>
      <c r="AH34" s="17"/>
      <c r="AI34" s="17"/>
    </row>
    <row r="35" spans="1:43" ht="17" customHeight="1" x14ac:dyDescent="0.2">
      <c r="A35" s="16"/>
      <c r="B35" s="16"/>
      <c r="C35" s="16"/>
      <c r="D35" s="16"/>
      <c r="E35" s="16"/>
      <c r="F35" s="16"/>
      <c r="G35" s="16"/>
      <c r="H35" s="16"/>
      <c r="I35" s="9"/>
      <c r="J35" s="14" t="s">
        <v>238</v>
      </c>
      <c r="K35" s="15" t="s">
        <v>239</v>
      </c>
      <c r="L35" s="15">
        <v>43</v>
      </c>
      <c r="M35" s="15">
        <v>60</v>
      </c>
      <c r="N35" s="15">
        <v>40</v>
      </c>
      <c r="O35" s="15">
        <v>5</v>
      </c>
      <c r="P35" s="15">
        <v>79</v>
      </c>
      <c r="Q35" s="13">
        <f t="shared" si="1"/>
        <v>227</v>
      </c>
      <c r="R35" s="9"/>
      <c r="S35" s="14" t="s">
        <v>240</v>
      </c>
      <c r="T35" s="15" t="s">
        <v>241</v>
      </c>
      <c r="U35" s="15">
        <v>5</v>
      </c>
      <c r="V35" s="15">
        <v>67</v>
      </c>
      <c r="W35" s="15">
        <v>20</v>
      </c>
      <c r="X35" s="15">
        <v>35</v>
      </c>
      <c r="Y35" s="15">
        <v>23</v>
      </c>
      <c r="Z35" s="13">
        <f t="shared" si="2"/>
        <v>150</v>
      </c>
      <c r="AA35" s="9"/>
      <c r="AB35" s="16"/>
      <c r="AC35" s="16"/>
      <c r="AD35" s="16"/>
      <c r="AE35" s="16"/>
      <c r="AF35" s="16"/>
      <c r="AG35" s="16"/>
      <c r="AH35" s="16"/>
      <c r="AI35" s="16"/>
    </row>
    <row r="36" spans="1:43" ht="17" customHeight="1" x14ac:dyDescent="0.2">
      <c r="A36" s="17"/>
      <c r="B36" s="17"/>
      <c r="C36" s="17"/>
      <c r="D36" s="17"/>
      <c r="E36" s="17"/>
      <c r="F36" s="17"/>
      <c r="G36" s="17"/>
      <c r="H36" s="17"/>
      <c r="I36" s="9"/>
      <c r="J36" s="11" t="s">
        <v>242</v>
      </c>
      <c r="K36" s="12" t="s">
        <v>243</v>
      </c>
      <c r="L36" s="12">
        <v>80</v>
      </c>
      <c r="M36" s="12">
        <v>39</v>
      </c>
      <c r="N36" s="12">
        <v>49</v>
      </c>
      <c r="O36" s="12">
        <v>87</v>
      </c>
      <c r="P36" s="12">
        <v>71</v>
      </c>
      <c r="Q36" s="13">
        <f t="shared" ref="Q36:Q55" si="5">SUM(L36:P36)</f>
        <v>326</v>
      </c>
      <c r="R36" s="9"/>
      <c r="S36" s="11" t="s">
        <v>244</v>
      </c>
      <c r="T36" s="12" t="s">
        <v>245</v>
      </c>
      <c r="U36" s="12">
        <v>5</v>
      </c>
      <c r="V36" s="12">
        <v>29</v>
      </c>
      <c r="W36" s="12">
        <v>59</v>
      </c>
      <c r="X36" s="12">
        <v>54</v>
      </c>
      <c r="Y36" s="12">
        <v>65</v>
      </c>
      <c r="Z36" s="13">
        <f t="shared" ref="Z36:Z55" si="6">SUM(U36:Y36)</f>
        <v>212</v>
      </c>
      <c r="AA36" s="9"/>
      <c r="AB36" s="17"/>
      <c r="AC36" s="17"/>
      <c r="AD36" s="17"/>
      <c r="AE36" s="17"/>
      <c r="AF36" s="17"/>
      <c r="AG36" s="17"/>
      <c r="AH36" s="17"/>
      <c r="AI36" s="17"/>
    </row>
    <row r="37" spans="1:43" ht="17" customHeight="1" x14ac:dyDescent="0.2">
      <c r="A37" s="16"/>
      <c r="B37" s="16"/>
      <c r="C37" s="16"/>
      <c r="D37" s="16"/>
      <c r="E37" s="16"/>
      <c r="F37" s="16"/>
      <c r="G37" s="16"/>
      <c r="H37" s="16"/>
      <c r="I37" s="9"/>
      <c r="J37" s="14" t="s">
        <v>246</v>
      </c>
      <c r="K37" s="15" t="s">
        <v>247</v>
      </c>
      <c r="L37" s="15">
        <v>78</v>
      </c>
      <c r="M37" s="15">
        <v>32</v>
      </c>
      <c r="N37" s="15">
        <v>72</v>
      </c>
      <c r="O37" s="15">
        <v>83</v>
      </c>
      <c r="P37" s="15">
        <v>58</v>
      </c>
      <c r="Q37" s="13">
        <f t="shared" si="5"/>
        <v>323</v>
      </c>
      <c r="R37" s="9"/>
      <c r="S37" s="14" t="s">
        <v>248</v>
      </c>
      <c r="T37" s="15" t="s">
        <v>249</v>
      </c>
      <c r="U37" s="15">
        <v>15</v>
      </c>
      <c r="V37" s="15">
        <v>40</v>
      </c>
      <c r="W37" s="15">
        <v>7</v>
      </c>
      <c r="X37" s="15">
        <v>46</v>
      </c>
      <c r="Y37" s="15">
        <v>81</v>
      </c>
      <c r="Z37" s="13">
        <f t="shared" si="6"/>
        <v>189</v>
      </c>
      <c r="AA37" s="9"/>
      <c r="AB37" s="16"/>
      <c r="AC37" s="16"/>
      <c r="AD37" s="16"/>
      <c r="AE37" s="16"/>
      <c r="AF37" s="16"/>
      <c r="AG37" s="16"/>
      <c r="AH37" s="16"/>
      <c r="AI37" s="16"/>
    </row>
    <row r="38" spans="1:43" ht="17" customHeight="1" x14ac:dyDescent="0.2">
      <c r="A38" s="17"/>
      <c r="B38" s="17"/>
      <c r="C38" s="17"/>
      <c r="D38" s="17"/>
      <c r="E38" s="17"/>
      <c r="F38" s="17"/>
      <c r="G38" s="17"/>
      <c r="H38" s="17"/>
      <c r="I38" s="9"/>
      <c r="J38" s="11" t="s">
        <v>250</v>
      </c>
      <c r="K38" s="12" t="s">
        <v>251</v>
      </c>
      <c r="L38" s="12">
        <v>6</v>
      </c>
      <c r="M38" s="12">
        <v>63</v>
      </c>
      <c r="N38" s="12">
        <v>47</v>
      </c>
      <c r="O38" s="12">
        <v>31</v>
      </c>
      <c r="P38" s="12">
        <v>24</v>
      </c>
      <c r="Q38" s="13">
        <f t="shared" si="5"/>
        <v>171</v>
      </c>
      <c r="R38" s="9"/>
      <c r="S38" s="11" t="s">
        <v>252</v>
      </c>
      <c r="T38" s="12" t="s">
        <v>253</v>
      </c>
      <c r="U38" s="12">
        <v>42</v>
      </c>
      <c r="V38" s="12">
        <v>6</v>
      </c>
      <c r="W38" s="12">
        <v>69</v>
      </c>
      <c r="X38" s="12">
        <v>55</v>
      </c>
      <c r="Y38" s="12">
        <v>48</v>
      </c>
      <c r="Z38" s="13">
        <f t="shared" si="6"/>
        <v>220</v>
      </c>
      <c r="AA38" s="9"/>
      <c r="AB38" s="17"/>
      <c r="AC38" s="17"/>
      <c r="AD38" s="17"/>
      <c r="AE38" s="17"/>
      <c r="AF38" s="17"/>
      <c r="AG38" s="17"/>
      <c r="AH38" s="17"/>
      <c r="AI38" s="17"/>
    </row>
    <row r="39" spans="1:43" ht="17" customHeight="1" x14ac:dyDescent="0.2">
      <c r="A39" s="16"/>
      <c r="B39" s="16"/>
      <c r="C39" s="16"/>
      <c r="D39" s="16"/>
      <c r="E39" s="16"/>
      <c r="F39" s="16"/>
      <c r="G39" s="16"/>
      <c r="H39" s="16"/>
      <c r="I39" s="9"/>
      <c r="J39" s="14" t="s">
        <v>254</v>
      </c>
      <c r="K39" s="15" t="s">
        <v>255</v>
      </c>
      <c r="L39" s="15">
        <v>7</v>
      </c>
      <c r="M39" s="15">
        <v>76</v>
      </c>
      <c r="N39" s="15">
        <v>59</v>
      </c>
      <c r="O39" s="15">
        <v>70</v>
      </c>
      <c r="P39" s="15">
        <v>19</v>
      </c>
      <c r="Q39" s="13">
        <f t="shared" si="5"/>
        <v>231</v>
      </c>
      <c r="R39" s="9"/>
      <c r="S39" s="14" t="s">
        <v>256</v>
      </c>
      <c r="T39" s="15" t="s">
        <v>257</v>
      </c>
      <c r="U39" s="15">
        <v>10</v>
      </c>
      <c r="V39" s="15">
        <v>60</v>
      </c>
      <c r="W39" s="15">
        <v>39</v>
      </c>
      <c r="X39" s="15">
        <v>11</v>
      </c>
      <c r="Y39" s="15">
        <v>8</v>
      </c>
      <c r="Z39" s="13">
        <f t="shared" si="6"/>
        <v>128</v>
      </c>
      <c r="AA39" s="9"/>
      <c r="AB39" s="16"/>
      <c r="AC39" s="16"/>
      <c r="AD39" s="16"/>
      <c r="AE39" s="16"/>
      <c r="AF39" s="16"/>
      <c r="AG39" s="16"/>
      <c r="AH39" s="16"/>
      <c r="AI39" s="16"/>
    </row>
    <row r="40" spans="1:43" ht="17" customHeight="1" x14ac:dyDescent="0.2">
      <c r="A40" s="17"/>
      <c r="B40" s="17"/>
      <c r="C40" s="17"/>
      <c r="D40" s="17"/>
      <c r="E40" s="17"/>
      <c r="F40" s="17"/>
      <c r="G40" s="17"/>
      <c r="H40" s="17"/>
      <c r="I40" s="9"/>
      <c r="J40" s="11" t="s">
        <v>258</v>
      </c>
      <c r="K40" s="12" t="s">
        <v>259</v>
      </c>
      <c r="L40" s="12">
        <v>52</v>
      </c>
      <c r="M40" s="12">
        <v>56</v>
      </c>
      <c r="N40" s="12">
        <v>82</v>
      </c>
      <c r="O40" s="12">
        <v>24</v>
      </c>
      <c r="P40" s="12">
        <v>42</v>
      </c>
      <c r="Q40" s="13">
        <f t="shared" si="5"/>
        <v>256</v>
      </c>
      <c r="R40" s="9"/>
      <c r="S40" s="11" t="s">
        <v>260</v>
      </c>
      <c r="T40" s="12" t="s">
        <v>261</v>
      </c>
      <c r="U40" s="12">
        <v>37</v>
      </c>
      <c r="V40" s="12">
        <v>4</v>
      </c>
      <c r="W40" s="12">
        <v>22</v>
      </c>
      <c r="X40" s="12">
        <v>5</v>
      </c>
      <c r="Y40" s="12">
        <v>51</v>
      </c>
      <c r="Z40" s="13">
        <f t="shared" si="6"/>
        <v>119</v>
      </c>
      <c r="AA40" s="9"/>
      <c r="AB40" s="17"/>
      <c r="AC40" s="17"/>
      <c r="AD40" s="17"/>
      <c r="AE40" s="17"/>
      <c r="AF40" s="17"/>
      <c r="AG40" s="17"/>
      <c r="AH40" s="17"/>
      <c r="AI40" s="17"/>
    </row>
    <row r="41" spans="1:43" ht="17" customHeight="1" x14ac:dyDescent="0.2">
      <c r="A41" s="16">
        <v>2</v>
      </c>
      <c r="B41" s="16"/>
      <c r="C41" s="16"/>
      <c r="D41" s="16"/>
      <c r="E41" s="16"/>
      <c r="F41" s="16"/>
      <c r="G41" s="16"/>
      <c r="H41" s="16"/>
      <c r="I41" s="9"/>
      <c r="J41" s="14" t="s">
        <v>262</v>
      </c>
      <c r="K41" s="15" t="s">
        <v>263</v>
      </c>
      <c r="L41" s="15">
        <v>74</v>
      </c>
      <c r="M41" s="15">
        <v>69</v>
      </c>
      <c r="N41" s="15">
        <v>90</v>
      </c>
      <c r="O41" s="15">
        <v>15</v>
      </c>
      <c r="P41" s="15">
        <v>68</v>
      </c>
      <c r="Q41" s="13">
        <f t="shared" si="5"/>
        <v>316</v>
      </c>
      <c r="R41" s="9"/>
      <c r="S41" s="14" t="s">
        <v>264</v>
      </c>
      <c r="T41" s="15" t="s">
        <v>265</v>
      </c>
      <c r="U41" s="15">
        <v>52</v>
      </c>
      <c r="V41" s="15">
        <v>10</v>
      </c>
      <c r="W41" s="15">
        <v>39</v>
      </c>
      <c r="X41" s="15">
        <v>60</v>
      </c>
      <c r="Y41" s="15">
        <v>15</v>
      </c>
      <c r="Z41" s="13">
        <f t="shared" si="6"/>
        <v>176</v>
      </c>
      <c r="AA41" s="9"/>
      <c r="AB41" s="16"/>
      <c r="AC41" s="16"/>
      <c r="AD41" s="16"/>
      <c r="AE41" s="16"/>
      <c r="AF41" s="16"/>
      <c r="AG41" s="16"/>
      <c r="AH41" s="16"/>
      <c r="AI41" s="16"/>
    </row>
    <row r="42" spans="1:43" ht="17" customHeight="1" x14ac:dyDescent="0.2">
      <c r="A42" s="17">
        <v>11</v>
      </c>
      <c r="B42" s="17"/>
      <c r="C42" s="17"/>
      <c r="D42" s="17"/>
      <c r="E42" s="17"/>
      <c r="F42" s="17"/>
      <c r="G42" s="17"/>
      <c r="H42" s="17"/>
      <c r="I42" s="9"/>
      <c r="J42" s="11" t="s">
        <v>266</v>
      </c>
      <c r="K42" s="12" t="s">
        <v>267</v>
      </c>
      <c r="L42" s="12">
        <v>16</v>
      </c>
      <c r="M42" s="12">
        <v>86</v>
      </c>
      <c r="N42" s="12">
        <v>2</v>
      </c>
      <c r="O42" s="12">
        <v>69</v>
      </c>
      <c r="P42" s="12">
        <v>67</v>
      </c>
      <c r="Q42" s="13">
        <f t="shared" si="5"/>
        <v>240</v>
      </c>
      <c r="R42" s="9"/>
      <c r="S42" s="11" t="s">
        <v>268</v>
      </c>
      <c r="T42" s="12" t="s">
        <v>269</v>
      </c>
      <c r="U42" s="12">
        <v>75</v>
      </c>
      <c r="V42" s="12">
        <v>14</v>
      </c>
      <c r="W42" s="12">
        <v>84</v>
      </c>
      <c r="X42" s="12">
        <v>12</v>
      </c>
      <c r="Y42" s="12">
        <v>66</v>
      </c>
      <c r="Z42" s="13">
        <f t="shared" si="6"/>
        <v>251</v>
      </c>
      <c r="AA42" s="9"/>
      <c r="AB42" s="17"/>
      <c r="AC42" s="17"/>
      <c r="AD42" s="17"/>
      <c r="AE42" s="17"/>
      <c r="AF42" s="17"/>
      <c r="AG42" s="17"/>
      <c r="AH42" s="17"/>
      <c r="AI42" s="17"/>
    </row>
    <row r="43" spans="1:43" ht="17" customHeight="1" x14ac:dyDescent="0.2">
      <c r="A43" s="16">
        <v>20</v>
      </c>
      <c r="B43" s="16"/>
      <c r="C43" s="16"/>
      <c r="D43" s="16"/>
      <c r="E43" s="16"/>
      <c r="F43" s="16"/>
      <c r="G43" s="16"/>
      <c r="H43" s="16"/>
      <c r="I43" s="9"/>
      <c r="J43" s="14" t="s">
        <v>270</v>
      </c>
      <c r="K43" s="15" t="s">
        <v>271</v>
      </c>
      <c r="L43" s="15">
        <v>72</v>
      </c>
      <c r="M43" s="15">
        <v>77</v>
      </c>
      <c r="N43" s="15">
        <v>40</v>
      </c>
      <c r="O43" s="15">
        <v>30</v>
      </c>
      <c r="P43" s="15">
        <v>16</v>
      </c>
      <c r="Q43" s="13">
        <f t="shared" si="5"/>
        <v>235</v>
      </c>
      <c r="R43" s="9"/>
      <c r="S43" s="14" t="s">
        <v>272</v>
      </c>
      <c r="T43" s="15" t="s">
        <v>273</v>
      </c>
      <c r="U43" s="15">
        <v>3</v>
      </c>
      <c r="V43" s="15">
        <v>17</v>
      </c>
      <c r="W43" s="15">
        <v>56</v>
      </c>
      <c r="X43" s="15">
        <v>61</v>
      </c>
      <c r="Y43" s="15">
        <v>41</v>
      </c>
      <c r="Z43" s="13">
        <f t="shared" si="6"/>
        <v>178</v>
      </c>
      <c r="AA43" s="9"/>
      <c r="AB43" s="16"/>
      <c r="AC43" s="16"/>
      <c r="AD43" s="16"/>
      <c r="AE43" s="16"/>
      <c r="AF43" s="16"/>
      <c r="AG43" s="16"/>
      <c r="AH43" s="16"/>
      <c r="AI43" s="16"/>
    </row>
    <row r="44" spans="1:43" ht="17" customHeight="1" x14ac:dyDescent="0.2">
      <c r="A44" s="17">
        <v>29</v>
      </c>
      <c r="B44" s="17"/>
      <c r="C44" s="17"/>
      <c r="D44" s="17"/>
      <c r="E44" s="17"/>
      <c r="F44" s="17"/>
      <c r="G44" s="17"/>
      <c r="H44" s="17"/>
      <c r="I44" s="9"/>
      <c r="J44" s="11" t="s">
        <v>274</v>
      </c>
      <c r="K44" s="12" t="s">
        <v>275</v>
      </c>
      <c r="L44" s="12">
        <v>22</v>
      </c>
      <c r="M44" s="12">
        <v>14</v>
      </c>
      <c r="N44" s="12">
        <v>4</v>
      </c>
      <c r="O44" s="12">
        <v>73</v>
      </c>
      <c r="P44" s="12">
        <v>49</v>
      </c>
      <c r="Q44" s="13">
        <f t="shared" si="5"/>
        <v>162</v>
      </c>
      <c r="R44" s="9"/>
      <c r="S44" s="11" t="s">
        <v>276</v>
      </c>
      <c r="T44" s="12" t="s">
        <v>277</v>
      </c>
      <c r="U44" s="12">
        <v>10</v>
      </c>
      <c r="V44" s="12">
        <v>23</v>
      </c>
      <c r="W44" s="12">
        <v>56</v>
      </c>
      <c r="X44" s="12">
        <v>24</v>
      </c>
      <c r="Y44" s="12">
        <v>77</v>
      </c>
      <c r="Z44" s="13">
        <f t="shared" si="6"/>
        <v>190</v>
      </c>
      <c r="AA44" s="9"/>
      <c r="AB44" s="17"/>
      <c r="AC44" s="17"/>
      <c r="AD44" s="17"/>
      <c r="AE44" s="17"/>
      <c r="AF44" s="17"/>
      <c r="AG44" s="17"/>
      <c r="AH44" s="17"/>
      <c r="AI44" s="17"/>
    </row>
    <row r="45" spans="1:43" ht="17" customHeight="1" x14ac:dyDescent="0.2">
      <c r="A45" s="16">
        <v>38</v>
      </c>
      <c r="B45" s="16"/>
      <c r="C45" s="16"/>
      <c r="D45" s="16"/>
      <c r="E45" s="16"/>
      <c r="F45" s="16"/>
      <c r="G45" s="16"/>
      <c r="H45" s="16"/>
      <c r="I45" s="9"/>
      <c r="J45" s="14" t="s">
        <v>278</v>
      </c>
      <c r="K45" s="15" t="s">
        <v>279</v>
      </c>
      <c r="L45" s="15">
        <v>30</v>
      </c>
      <c r="M45" s="15">
        <v>38</v>
      </c>
      <c r="N45" s="15">
        <v>20</v>
      </c>
      <c r="O45" s="15">
        <v>24</v>
      </c>
      <c r="P45" s="15">
        <v>45</v>
      </c>
      <c r="Q45" s="13">
        <f t="shared" si="5"/>
        <v>157</v>
      </c>
      <c r="R45" s="9"/>
      <c r="S45" s="14" t="s">
        <v>280</v>
      </c>
      <c r="T45" s="15" t="s">
        <v>281</v>
      </c>
      <c r="U45" s="15">
        <v>16</v>
      </c>
      <c r="V45" s="15">
        <v>57</v>
      </c>
      <c r="W45" s="15">
        <v>89</v>
      </c>
      <c r="X45" s="15">
        <v>49</v>
      </c>
      <c r="Y45" s="15">
        <v>30</v>
      </c>
      <c r="Z45" s="13">
        <f t="shared" si="6"/>
        <v>241</v>
      </c>
      <c r="AA45" s="9"/>
      <c r="AB45" s="16"/>
      <c r="AC45" s="16"/>
      <c r="AD45" s="16"/>
      <c r="AE45" s="16"/>
      <c r="AF45" s="16"/>
      <c r="AG45" s="16"/>
      <c r="AH45" s="16"/>
      <c r="AI45" s="16"/>
    </row>
    <row r="46" spans="1:43" ht="17" customHeight="1" x14ac:dyDescent="0.2">
      <c r="A46" s="17">
        <v>47</v>
      </c>
      <c r="B46" s="17"/>
      <c r="C46" s="17"/>
      <c r="D46" s="17"/>
      <c r="E46" s="17"/>
      <c r="F46" s="17"/>
      <c r="G46" s="17"/>
      <c r="H46" s="17"/>
      <c r="I46" s="9"/>
      <c r="J46" s="11" t="s">
        <v>282</v>
      </c>
      <c r="K46" s="12" t="s">
        <v>283</v>
      </c>
      <c r="L46" s="12">
        <v>78</v>
      </c>
      <c r="M46" s="12">
        <v>61</v>
      </c>
      <c r="N46" s="12">
        <v>88</v>
      </c>
      <c r="O46" s="12">
        <v>69</v>
      </c>
      <c r="P46" s="12">
        <v>64</v>
      </c>
      <c r="Q46" s="13">
        <f t="shared" si="5"/>
        <v>360</v>
      </c>
      <c r="R46" s="9"/>
      <c r="S46" s="11" t="s">
        <v>284</v>
      </c>
      <c r="T46" s="12" t="s">
        <v>285</v>
      </c>
      <c r="U46" s="12">
        <v>66</v>
      </c>
      <c r="V46" s="12">
        <v>87</v>
      </c>
      <c r="W46" s="12">
        <v>47</v>
      </c>
      <c r="X46" s="12">
        <v>68</v>
      </c>
      <c r="Y46" s="12">
        <v>76</v>
      </c>
      <c r="Z46" s="13">
        <f t="shared" si="6"/>
        <v>344</v>
      </c>
      <c r="AA46" s="9"/>
      <c r="AB46" s="17"/>
      <c r="AC46" s="17"/>
      <c r="AD46" s="17"/>
      <c r="AE46" s="17"/>
      <c r="AF46" s="17"/>
      <c r="AG46" s="17"/>
      <c r="AH46" s="17"/>
      <c r="AI46" s="17"/>
    </row>
    <row r="47" spans="1:43" ht="17" customHeight="1" x14ac:dyDescent="0.2">
      <c r="A47" s="16">
        <v>56</v>
      </c>
      <c r="B47" s="16"/>
      <c r="C47" s="16"/>
      <c r="D47" s="16"/>
      <c r="E47" s="16"/>
      <c r="F47" s="16"/>
      <c r="G47" s="16"/>
      <c r="H47" s="16"/>
      <c r="I47" s="9"/>
      <c r="J47" s="14" t="s">
        <v>286</v>
      </c>
      <c r="K47" s="15" t="s">
        <v>287</v>
      </c>
      <c r="L47" s="15">
        <v>37</v>
      </c>
      <c r="M47" s="15">
        <v>82</v>
      </c>
      <c r="N47" s="15">
        <v>22</v>
      </c>
      <c r="O47" s="15">
        <v>79</v>
      </c>
      <c r="P47" s="15">
        <v>13</v>
      </c>
      <c r="Q47" s="13">
        <f t="shared" si="5"/>
        <v>233</v>
      </c>
      <c r="R47" s="9"/>
      <c r="S47" s="14" t="s">
        <v>288</v>
      </c>
      <c r="T47" s="15" t="s">
        <v>289</v>
      </c>
      <c r="U47" s="15">
        <v>45</v>
      </c>
      <c r="V47" s="15">
        <v>78</v>
      </c>
      <c r="W47" s="15">
        <v>43</v>
      </c>
      <c r="X47" s="15">
        <v>60</v>
      </c>
      <c r="Y47" s="15">
        <v>71</v>
      </c>
      <c r="Z47" s="13">
        <f t="shared" si="6"/>
        <v>297</v>
      </c>
      <c r="AA47" s="9"/>
      <c r="AB47" s="16"/>
      <c r="AC47" s="16"/>
      <c r="AD47" s="16"/>
      <c r="AE47" s="16"/>
      <c r="AF47" s="16"/>
      <c r="AG47" s="16"/>
      <c r="AH47" s="16"/>
      <c r="AI47" s="16"/>
    </row>
    <row r="48" spans="1:43" ht="17" customHeight="1" x14ac:dyDescent="0.2">
      <c r="A48" s="17">
        <v>65</v>
      </c>
      <c r="B48" s="17"/>
      <c r="C48" s="17"/>
      <c r="D48" s="17"/>
      <c r="E48" s="17"/>
      <c r="F48" s="17"/>
      <c r="G48" s="17"/>
      <c r="H48" s="17"/>
      <c r="I48" s="9"/>
      <c r="J48" s="11" t="s">
        <v>290</v>
      </c>
      <c r="K48" s="12" t="s">
        <v>291</v>
      </c>
      <c r="L48" s="12">
        <v>86</v>
      </c>
      <c r="M48" s="12">
        <v>31</v>
      </c>
      <c r="N48" s="12">
        <v>42</v>
      </c>
      <c r="O48" s="12">
        <v>41</v>
      </c>
      <c r="P48" s="12">
        <v>36</v>
      </c>
      <c r="Q48" s="13">
        <f t="shared" si="5"/>
        <v>236</v>
      </c>
      <c r="R48" s="9"/>
      <c r="S48" s="11" t="s">
        <v>292</v>
      </c>
      <c r="T48" s="12" t="s">
        <v>293</v>
      </c>
      <c r="U48" s="12">
        <v>66</v>
      </c>
      <c r="V48" s="12">
        <v>30</v>
      </c>
      <c r="W48" s="12">
        <v>82</v>
      </c>
      <c r="X48" s="12">
        <v>85</v>
      </c>
      <c r="Y48" s="12">
        <v>38</v>
      </c>
      <c r="Z48" s="13">
        <f t="shared" si="6"/>
        <v>301</v>
      </c>
      <c r="AA48" s="9"/>
      <c r="AB48" s="17"/>
      <c r="AC48" s="17"/>
      <c r="AD48" s="17"/>
      <c r="AE48" s="17"/>
      <c r="AF48" s="17"/>
      <c r="AG48" s="17"/>
      <c r="AH48" s="17"/>
      <c r="AI48" s="17"/>
    </row>
    <row r="49" spans="1:35" ht="17" customHeight="1" x14ac:dyDescent="0.2">
      <c r="A49" s="16">
        <v>74</v>
      </c>
      <c r="B49" s="16"/>
      <c r="C49" s="16"/>
      <c r="D49" s="16"/>
      <c r="E49" s="16"/>
      <c r="F49" s="16"/>
      <c r="G49" s="16"/>
      <c r="H49" s="16"/>
      <c r="I49" s="9"/>
      <c r="J49" s="14" t="s">
        <v>294</v>
      </c>
      <c r="K49" s="15" t="s">
        <v>295</v>
      </c>
      <c r="L49" s="15">
        <v>62</v>
      </c>
      <c r="M49" s="15">
        <v>13</v>
      </c>
      <c r="N49" s="15">
        <v>71</v>
      </c>
      <c r="O49" s="15">
        <v>70</v>
      </c>
      <c r="P49" s="15">
        <v>59</v>
      </c>
      <c r="Q49" s="13">
        <f t="shared" si="5"/>
        <v>275</v>
      </c>
      <c r="R49" s="9"/>
      <c r="S49" s="14" t="s">
        <v>296</v>
      </c>
      <c r="T49" s="15" t="s">
        <v>297</v>
      </c>
      <c r="U49" s="15">
        <v>84</v>
      </c>
      <c r="V49" s="15">
        <v>77</v>
      </c>
      <c r="W49" s="15">
        <v>1</v>
      </c>
      <c r="X49" s="15">
        <v>50</v>
      </c>
      <c r="Y49" s="15">
        <v>61</v>
      </c>
      <c r="Z49" s="13">
        <f t="shared" si="6"/>
        <v>273</v>
      </c>
      <c r="AA49" s="9"/>
      <c r="AB49" s="16"/>
      <c r="AC49" s="16"/>
      <c r="AD49" s="16"/>
      <c r="AE49" s="16"/>
      <c r="AF49" s="16"/>
      <c r="AG49" s="16"/>
      <c r="AH49" s="16"/>
      <c r="AI49" s="16"/>
    </row>
    <row r="50" spans="1:35" ht="17" customHeight="1" x14ac:dyDescent="0.2">
      <c r="A50" s="17">
        <v>83</v>
      </c>
      <c r="B50" s="17"/>
      <c r="C50" s="17"/>
      <c r="D50" s="17"/>
      <c r="E50" s="17"/>
      <c r="F50" s="17"/>
      <c r="G50" s="17"/>
      <c r="H50" s="17"/>
      <c r="I50" s="9"/>
      <c r="J50" s="11" t="s">
        <v>298</v>
      </c>
      <c r="K50" s="12" t="s">
        <v>299</v>
      </c>
      <c r="L50" s="12">
        <v>39</v>
      </c>
      <c r="M50" s="12">
        <v>85</v>
      </c>
      <c r="N50" s="12">
        <v>72</v>
      </c>
      <c r="O50" s="12">
        <v>55</v>
      </c>
      <c r="P50" s="12">
        <v>4</v>
      </c>
      <c r="Q50" s="13">
        <f t="shared" si="5"/>
        <v>255</v>
      </c>
      <c r="R50" s="9"/>
      <c r="S50" s="11" t="s">
        <v>300</v>
      </c>
      <c r="T50" s="12" t="s">
        <v>301</v>
      </c>
      <c r="U50" s="12">
        <v>30</v>
      </c>
      <c r="V50" s="12">
        <v>73</v>
      </c>
      <c r="W50" s="12">
        <v>2</v>
      </c>
      <c r="X50" s="12">
        <v>74</v>
      </c>
      <c r="Y50" s="12">
        <v>4</v>
      </c>
      <c r="Z50" s="13">
        <f t="shared" si="6"/>
        <v>183</v>
      </c>
      <c r="AA50" s="9"/>
      <c r="AB50" s="17"/>
      <c r="AC50" s="17"/>
      <c r="AD50" s="17"/>
      <c r="AE50" s="17"/>
      <c r="AF50" s="17"/>
      <c r="AG50" s="17"/>
      <c r="AH50" s="17"/>
      <c r="AI50" s="17"/>
    </row>
    <row r="51" spans="1:35" ht="17" customHeight="1" x14ac:dyDescent="0.2">
      <c r="A51" s="16"/>
      <c r="B51" s="16"/>
      <c r="C51" s="16"/>
      <c r="D51" s="16"/>
      <c r="E51" s="16"/>
      <c r="F51" s="16"/>
      <c r="G51" s="16"/>
      <c r="H51" s="16"/>
      <c r="I51" s="9"/>
      <c r="J51" s="14" t="s">
        <v>302</v>
      </c>
      <c r="K51" s="15" t="s">
        <v>303</v>
      </c>
      <c r="L51" s="15">
        <v>81</v>
      </c>
      <c r="M51" s="15">
        <v>85</v>
      </c>
      <c r="N51" s="15">
        <v>6</v>
      </c>
      <c r="O51" s="15">
        <v>20</v>
      </c>
      <c r="P51" s="15">
        <v>36</v>
      </c>
      <c r="Q51" s="13">
        <f t="shared" si="5"/>
        <v>228</v>
      </c>
      <c r="R51" s="9"/>
      <c r="S51" s="14" t="s">
        <v>304</v>
      </c>
      <c r="T51" s="15" t="s">
        <v>305</v>
      </c>
      <c r="U51" s="15">
        <v>55</v>
      </c>
      <c r="V51" s="15">
        <v>56</v>
      </c>
      <c r="W51" s="15">
        <v>5</v>
      </c>
      <c r="X51" s="15">
        <v>34</v>
      </c>
      <c r="Y51" s="15">
        <v>76</v>
      </c>
      <c r="Z51" s="13">
        <f t="shared" si="6"/>
        <v>226</v>
      </c>
      <c r="AA51" s="9"/>
      <c r="AB51" s="16"/>
      <c r="AC51" s="16"/>
      <c r="AD51" s="16"/>
      <c r="AE51" s="16"/>
      <c r="AF51" s="16"/>
      <c r="AG51" s="16"/>
      <c r="AH51" s="16"/>
      <c r="AI51" s="16"/>
    </row>
    <row r="52" spans="1:35" ht="17" customHeight="1" x14ac:dyDescent="0.2">
      <c r="A52" s="17"/>
      <c r="B52" s="17"/>
      <c r="C52" s="17"/>
      <c r="D52" s="17"/>
      <c r="E52" s="17"/>
      <c r="F52" s="17"/>
      <c r="G52" s="17"/>
      <c r="H52" s="17"/>
      <c r="I52" s="9"/>
      <c r="J52" s="11" t="s">
        <v>306</v>
      </c>
      <c r="K52" s="12" t="s">
        <v>307</v>
      </c>
      <c r="L52" s="12">
        <v>21</v>
      </c>
      <c r="M52" s="12">
        <v>26</v>
      </c>
      <c r="N52" s="12">
        <v>32</v>
      </c>
      <c r="O52" s="12">
        <v>89</v>
      </c>
      <c r="P52" s="12">
        <v>61</v>
      </c>
      <c r="Q52" s="13">
        <f t="shared" si="5"/>
        <v>229</v>
      </c>
      <c r="R52" s="9"/>
      <c r="S52" s="11" t="s">
        <v>308</v>
      </c>
      <c r="T52" s="12" t="s">
        <v>309</v>
      </c>
      <c r="U52" s="12">
        <v>2</v>
      </c>
      <c r="V52" s="12">
        <v>85</v>
      </c>
      <c r="W52" s="12">
        <v>14</v>
      </c>
      <c r="X52" s="12">
        <v>17</v>
      </c>
      <c r="Y52" s="12">
        <v>71</v>
      </c>
      <c r="Z52" s="13">
        <f t="shared" si="6"/>
        <v>189</v>
      </c>
      <c r="AA52" s="9"/>
      <c r="AB52" s="17"/>
      <c r="AC52" s="17"/>
      <c r="AD52" s="17"/>
      <c r="AE52" s="17"/>
      <c r="AF52" s="17"/>
      <c r="AG52" s="17"/>
      <c r="AH52" s="17"/>
      <c r="AI52" s="17"/>
    </row>
    <row r="53" spans="1:35" ht="17" customHeight="1" x14ac:dyDescent="0.2">
      <c r="A53" s="16"/>
      <c r="B53" s="16"/>
      <c r="C53" s="16"/>
      <c r="D53" s="16"/>
      <c r="E53" s="16"/>
      <c r="F53" s="16"/>
      <c r="G53" s="16"/>
      <c r="H53" s="16"/>
      <c r="I53" s="9"/>
      <c r="J53" s="14" t="s">
        <v>310</v>
      </c>
      <c r="K53" s="15" t="s">
        <v>311</v>
      </c>
      <c r="L53" s="15">
        <v>15</v>
      </c>
      <c r="M53" s="15">
        <v>49</v>
      </c>
      <c r="N53" s="15">
        <v>2</v>
      </c>
      <c r="O53" s="15">
        <v>88</v>
      </c>
      <c r="P53" s="15">
        <v>20</v>
      </c>
      <c r="Q53" s="13">
        <f t="shared" si="5"/>
        <v>174</v>
      </c>
      <c r="R53" s="9"/>
      <c r="S53" s="14" t="s">
        <v>312</v>
      </c>
      <c r="T53" s="15" t="s">
        <v>313</v>
      </c>
      <c r="U53" s="15">
        <v>67</v>
      </c>
      <c r="V53" s="15">
        <v>79</v>
      </c>
      <c r="W53" s="15">
        <v>23</v>
      </c>
      <c r="X53" s="15">
        <v>64</v>
      </c>
      <c r="Y53" s="15">
        <v>87</v>
      </c>
      <c r="Z53" s="13">
        <f t="shared" si="6"/>
        <v>320</v>
      </c>
      <c r="AA53" s="9"/>
      <c r="AB53" s="16"/>
      <c r="AC53" s="16"/>
      <c r="AD53" s="16"/>
      <c r="AE53" s="16"/>
      <c r="AF53" s="16"/>
      <c r="AG53" s="16"/>
      <c r="AH53" s="16"/>
      <c r="AI53" s="16"/>
    </row>
    <row r="54" spans="1:35" ht="17" customHeight="1" x14ac:dyDescent="0.2">
      <c r="A54" s="17"/>
      <c r="B54" s="17"/>
      <c r="C54" s="17"/>
      <c r="D54" s="17"/>
      <c r="E54" s="17"/>
      <c r="F54" s="17"/>
      <c r="G54" s="17"/>
      <c r="H54" s="17"/>
      <c r="I54" s="9"/>
      <c r="J54" s="11" t="s">
        <v>314</v>
      </c>
      <c r="K54" s="12" t="s">
        <v>315</v>
      </c>
      <c r="L54" s="12">
        <v>14</v>
      </c>
      <c r="M54" s="12">
        <v>30</v>
      </c>
      <c r="N54" s="12">
        <v>74</v>
      </c>
      <c r="O54" s="12">
        <v>90</v>
      </c>
      <c r="P54" s="12">
        <v>89</v>
      </c>
      <c r="Q54" s="13">
        <f t="shared" si="5"/>
        <v>297</v>
      </c>
      <c r="R54" s="9"/>
      <c r="S54" s="11" t="s">
        <v>316</v>
      </c>
      <c r="T54" s="12" t="s">
        <v>317</v>
      </c>
      <c r="U54" s="12">
        <v>23</v>
      </c>
      <c r="V54" s="12">
        <v>4</v>
      </c>
      <c r="W54" s="12">
        <v>75</v>
      </c>
      <c r="X54" s="12">
        <v>5</v>
      </c>
      <c r="Y54" s="12">
        <v>55</v>
      </c>
      <c r="Z54" s="13">
        <f t="shared" si="6"/>
        <v>162</v>
      </c>
      <c r="AA54" s="9"/>
      <c r="AB54" s="17"/>
      <c r="AC54" s="17"/>
      <c r="AD54" s="17"/>
      <c r="AE54" s="17"/>
      <c r="AF54" s="17"/>
      <c r="AG54" s="17"/>
      <c r="AH54" s="17"/>
      <c r="AI54" s="17"/>
    </row>
    <row r="55" spans="1:35" ht="17" customHeight="1" x14ac:dyDescent="0.2">
      <c r="A55" s="16"/>
      <c r="B55" s="16"/>
      <c r="C55" s="16"/>
      <c r="D55" s="16"/>
      <c r="E55" s="16"/>
      <c r="F55" s="16"/>
      <c r="G55" s="16"/>
      <c r="H55" s="16"/>
      <c r="I55" s="9"/>
      <c r="J55" s="14" t="s">
        <v>318</v>
      </c>
      <c r="K55" s="15" t="s">
        <v>319</v>
      </c>
      <c r="L55" s="15">
        <v>74</v>
      </c>
      <c r="M55" s="15">
        <v>23</v>
      </c>
      <c r="N55" s="15">
        <v>76</v>
      </c>
      <c r="O55" s="15">
        <v>18</v>
      </c>
      <c r="P55" s="15">
        <v>2</v>
      </c>
      <c r="Q55" s="13">
        <f t="shared" si="5"/>
        <v>193</v>
      </c>
      <c r="R55" s="9"/>
      <c r="S55" s="14" t="s">
        <v>320</v>
      </c>
      <c r="T55" s="15" t="s">
        <v>321</v>
      </c>
      <c r="U55" s="15">
        <v>36</v>
      </c>
      <c r="V55" s="15">
        <v>72</v>
      </c>
      <c r="W55" s="15">
        <v>49</v>
      </c>
      <c r="X55" s="15">
        <v>14</v>
      </c>
      <c r="Y55" s="15">
        <v>59</v>
      </c>
      <c r="Z55" s="13">
        <f t="shared" si="6"/>
        <v>230</v>
      </c>
      <c r="AA55" s="9"/>
      <c r="AB55" s="16"/>
      <c r="AC55" s="16"/>
      <c r="AD55" s="16"/>
      <c r="AE55" s="16"/>
      <c r="AF55" s="16"/>
      <c r="AG55" s="16"/>
      <c r="AH55" s="16"/>
      <c r="AI55" s="16"/>
    </row>
  </sheetData>
  <mergeCells count="5">
    <mergeCell ref="S2:Z2"/>
    <mergeCell ref="J2:Q2"/>
    <mergeCell ref="AB2:AI2"/>
    <mergeCell ref="A2:H2"/>
    <mergeCell ref="AJ2:AQ2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GOLD 2026-2023</vt:lpstr>
      <vt:lpstr>Feuil1</vt:lpstr>
      <vt:lpstr>GOLD taille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2026-06-29T14:52:51Z</dcterms:created>
  <dcterms:modified xsi:type="dcterms:W3CDTF">2026-07-09T21:00:17Z</dcterms:modified>
</cp:coreProperties>
</file>